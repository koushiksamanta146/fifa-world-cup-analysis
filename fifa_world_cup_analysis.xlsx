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SQL\project\fifa world cup 2026\"/>
    </mc:Choice>
  </mc:AlternateContent>
  <xr:revisionPtr revIDLastSave="0" documentId="13_ncr:1_{B58DC2BD-2477-46FE-A118-4601FAC4C6DC}" xr6:coauthVersionLast="47" xr6:coauthVersionMax="47" xr10:uidLastSave="{00000000-0000-0000-0000-000000000000}"/>
  <bookViews>
    <workbookView xWindow="-120" yWindow="-120" windowWidth="19440" windowHeight="11520" activeTab="7" xr2:uid="{00000000-000D-0000-FFFF-FFFF00000000}"/>
  </bookViews>
  <sheets>
    <sheet name="ANSWER 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chart.v2.0" hidden="1">'[5]ANSWER 6'!$A$10:$C$10</definedName>
    <definedName name="_xlchart.v2.1" hidden="1">'[5]ANSWER 6'!$A$9:$C$9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<sst xmlns="http://schemas.openxmlformats.org/spreadsheetml/2006/main" count="142" uniqueCount="108">
  <si>
    <t>stage_category</t>
  </si>
  <si>
    <t>total_matches</t>
  </si>
  <si>
    <t>total_goals</t>
  </si>
  <si>
    <t>avg_goals_per_match</t>
  </si>
  <si>
    <t xml:space="preserve">1. Goal Distribution &amp; Efficiency: What is the total number of goals scored across the tournament, </t>
  </si>
  <si>
    <t>Group Stage</t>
  </si>
  <si>
    <t>and what is the average number of goals per match broken down by stage (Group Stage vs. Knockout Stage)?</t>
  </si>
  <si>
    <t>Knockout Stage</t>
  </si>
  <si>
    <t>Overall Tournament</t>
  </si>
  <si>
    <t>Insight : Contrary to typical defensive elimination play, knockout matches saw</t>
  </si>
  <si>
    <t>late-game pressure and extra-time fatigue.</t>
  </si>
  <si>
    <t xml:space="preserve"> higher scoring efficiency (2.53 vs 2.36 goals/match) driven by </t>
  </si>
  <si>
    <t>2. Top Scoring Teams: Which 5 teams scored the highest cumulative number of goals throughout the tournament,</t>
  </si>
  <si>
    <t>and what was their average goal difference per match?</t>
  </si>
  <si>
    <t>goal_rank</t>
  </si>
  <si>
    <t>team</t>
  </si>
  <si>
    <t>matches_played</t>
  </si>
  <si>
    <t>Total goals scored</t>
  </si>
  <si>
    <t>total_goals_conceded</t>
  </si>
  <si>
    <t>total_goal_difference</t>
  </si>
  <si>
    <t>Avg Goal Difference / Match</t>
  </si>
  <si>
    <t>Brazil</t>
  </si>
  <si>
    <t>France</t>
  </si>
  <si>
    <t>Spain</t>
  </si>
  <si>
    <t>Germany</t>
  </si>
  <si>
    <t>Mexico</t>
  </si>
  <si>
    <t>Insight: Top 5 scoring teams showed dominant performance by maintaining a high average margin of victory (over +1 goal per match), proving their complete control over games.</t>
  </si>
  <si>
    <t>3.Clean Sheet Leaders: Which teams maintained the highest clean sheet percentage across all matches played?</t>
  </si>
  <si>
    <t>cs_rank</t>
  </si>
  <si>
    <t>Total_clean_sheets</t>
  </si>
  <si>
    <t>clean_sheet_percentage</t>
  </si>
  <si>
    <t>Canada</t>
  </si>
  <si>
    <t>Netherlands</t>
  </si>
  <si>
    <t>Morocco</t>
  </si>
  <si>
    <t>Belgium</t>
  </si>
  <si>
    <t>Senegal</t>
  </si>
  <si>
    <t>Portugal</t>
  </si>
  <si>
    <t>Bosnia and Herzegovina</t>
  </si>
  <si>
    <t>Cabo Verde</t>
  </si>
  <si>
    <t>Haiti</t>
  </si>
  <si>
    <t>Iraq</t>
  </si>
  <si>
    <t>Insight: Top defensive teams converted high clean sheet efficiency (&gt;50%) into tournament success, proving that defensive stability and shutting out opponents were critical for deep runs</t>
  </si>
  <si>
    <t>TOP 5 AVG HIGH SCORING VENUE</t>
  </si>
  <si>
    <t>venue</t>
  </si>
  <si>
    <t>total_draws</t>
  </si>
  <si>
    <t>total_extra_time</t>
  </si>
  <si>
    <t>total_tight_finishes</t>
  </si>
  <si>
    <t>rank_highest_scoring</t>
  </si>
  <si>
    <t>rank_most_draws_extratime</t>
  </si>
  <si>
    <t>Levi's Stadium, Santa Clara</t>
  </si>
  <si>
    <t>Arrowhead Stadium, Kansas City</t>
  </si>
  <si>
    <t>Estadio BBVA, Guadalupe</t>
  </si>
  <si>
    <t>Estadio Azteca, Mexico City</t>
  </si>
  <si>
    <t>Estadio Akron, Guadalajara</t>
  </si>
  <si>
    <t>SoFi Stadium, Inglewood</t>
  </si>
  <si>
    <t>BC Place, Vancouver</t>
  </si>
  <si>
    <t>Mercedes-Benz Stadium, Atlanta</t>
  </si>
  <si>
    <t>Lumen Field, Seattle</t>
  </si>
  <si>
    <t>BMO Field, Toronto</t>
  </si>
  <si>
    <t>Gillette Stadium, Foxborough</t>
  </si>
  <si>
    <t>MetLife Stadium, East Rutherford</t>
  </si>
  <si>
    <t>Hard Rock Stadium, Miami Gardens</t>
  </si>
  <si>
    <t>NRG Stadium, Houston</t>
  </si>
  <si>
    <t>Lincoln Financial Field, Philadelphia</t>
  </si>
  <si>
    <t>AT&amp;T Stadium, Arlington</t>
  </si>
  <si>
    <r>
      <t>Core Insight: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Mercedes-Benz Stadium</t>
    </r>
    <r>
      <rPr>
        <sz val="11"/>
        <color theme="1"/>
        <rFont val="Calibri"/>
        <family val="2"/>
        <scheme val="minor"/>
      </rPr>
      <t xml:space="preserve"> led in scoring efficiency with </t>
    </r>
    <r>
      <rPr>
        <b/>
        <sz val="11"/>
        <color theme="1"/>
        <rFont val="Calibri"/>
        <family val="2"/>
        <scheme val="minor"/>
      </rPr>
      <t>3.33 goals/match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Estadio BBVA</t>
    </r>
    <r>
      <rPr>
        <sz val="11"/>
        <color theme="1"/>
        <rFont val="Calibri"/>
        <family val="2"/>
        <scheme val="minor"/>
      </rPr>
      <t xml:space="preserve"> recorded the most competitive environment with </t>
    </r>
    <r>
      <rPr>
        <b/>
        <sz val="11"/>
        <color theme="1"/>
        <rFont val="Calibri"/>
        <family val="2"/>
        <scheme val="minor"/>
      </rPr>
      <t>4 tight finishes</t>
    </r>
    <r>
      <rPr>
        <sz val="11"/>
        <color theme="1"/>
        <rFont val="Calibri"/>
        <family val="2"/>
        <scheme val="minor"/>
      </rPr>
      <t xml:space="preserve"> (3 draws, 1 extra time).</t>
    </r>
  </si>
  <si>
    <t xml:space="preserve">5. Team Order Impact: Does playing as team_order = 1 vs. team_order = 2 show a statistically </t>
  </si>
  <si>
    <t>significant difference in win rates or points earned?</t>
  </si>
  <si>
    <t>team_order</t>
  </si>
  <si>
    <t>win_percentage</t>
  </si>
  <si>
    <t>draw_percentage</t>
  </si>
  <si>
    <t>loss_percentage</t>
  </si>
  <si>
    <t>avg_points_per_match</t>
  </si>
  <si>
    <t>Insight : Team Order 1 demonstrates a dominant positional advantage, securing a $56.73\%$ win rate and $1.89$ average points per match—more than double the win rate ($24.04\%$) and points yield ($0.91$) of Team Order 2. This reveals a statistically significant advantage for teams listed first.</t>
  </si>
  <si>
    <t xml:space="preserve">6.Extra Time &amp; Penalty Shootout Frequency: What percentage of knockout stage matches went into extra time, </t>
  </si>
  <si>
    <t>and what proportion of those were decided by penalty shootouts?*/</t>
  </si>
  <si>
    <t>total_knockout_matches</t>
  </si>
  <si>
    <t>matches_with_extra_time</t>
  </si>
  <si>
    <t>matches_with_penalties</t>
  </si>
  <si>
    <t>extra_time_percentage</t>
  </si>
  <si>
    <t>penalty_shootout_proportion_of_et</t>
  </si>
  <si>
    <t>Knockout Matches</t>
  </si>
  <si>
    <t>Extra Time Matches</t>
  </si>
  <si>
    <t>Penalty Shootout Matches</t>
  </si>
  <si>
    <t>Insight - Knockout matches were generally settled within 90 minutes, but extra-time matches showed a high likelihood of penalty shootouts, reflecting intense competition in decisive games</t>
  </si>
  <si>
    <t xml:space="preserve">7.Penalty Clutch Performance: Among matches that reached a penalty shootout, what was the average </t>
  </si>
  <si>
    <t>conversion rate or margin of victory in shootout goals?</t>
  </si>
  <si>
    <t>total_penalty_shootout_matches</t>
  </si>
  <si>
    <t>min margin</t>
  </si>
  <si>
    <t>avg margin</t>
  </si>
  <si>
    <t>max margin</t>
  </si>
  <si>
    <t>Insight : Across 4 penalty shootouts, the average victory margin was only 1.25 goals, with margins ranging from 1 to 2 goals, indicating that shootout victories were generally decided by narrow margins.</t>
  </si>
  <si>
    <t>group</t>
  </si>
  <si>
    <t>Goal Difference Spread</t>
  </si>
  <si>
    <t>Cumulative Goals</t>
  </si>
  <si>
    <t>Group F</t>
  </si>
  <si>
    <t>Group L</t>
  </si>
  <si>
    <t>Group C</t>
  </si>
  <si>
    <t>Group I</t>
  </si>
  <si>
    <t>Group D</t>
  </si>
  <si>
    <t>Group J</t>
  </si>
  <si>
    <t>Group B</t>
  </si>
  <si>
    <t>Group H</t>
  </si>
  <si>
    <t>Group E</t>
  </si>
  <si>
    <t>Group K</t>
  </si>
  <si>
    <t>Group A</t>
  </si>
  <si>
    <t>Group G</t>
  </si>
  <si>
    <t>Insight : The most competitive groups were not necessarily the highest-scoring groups, highlighting that competitiveness and goal production are distinct dimensions of group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</si>
</sst>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3" fillId="33" borderId="10" xfId="0" applyFont="1" applyFill="1" applyBorder="1"/>
    <xf numFmtId="0" fontId="0" fillId="34" borderId="10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Goals per Match: Group vs Knockout</a:t>
            </a:r>
            <a:endParaRPr lang="en-US"/>
          </a:p>
        </c:rich>
      </c:tx>
      <c:layout>
        <c:manualLayout>
          <c:xMode val="edge"/>
          <c:yMode val="edge"/>
          <c:x val="0.34752977590948536"/>
          <c:y val="2.6272573467528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78937007874016"/>
          <c:y val="0.17171296296296298"/>
          <c:w val="0.82498840769903758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'ANSWER 1'!$D$1</c:f>
              <c:strCache>
                <c:ptCount val="1"/>
                <c:pt idx="0">
                  <c:v>avg_goals_per_match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F5-4A05-813F-38B05F9A9E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'ANSWER 1'!$A$2:$A$3</c:f>
              <c:strCache>
                <c:ptCount val="2"/>
                <c:pt idx="0">
                  <c:v>Group Stage</c:v>
                </c:pt>
                <c:pt idx="1">
                  <c:v>Knockout Stage</c:v>
                </c:pt>
              </c:strCache>
            </c:strRef>
          </c:cat>
          <c:val>
            <c:numRef>
              <c:f>'ANSWER 1'!$D$2:$D$3</c:f>
              <c:numCache>
                <c:formatCode>General</c:formatCode>
                <c:ptCount val="2"/>
                <c:pt idx="0">
                  <c:v>2.36</c:v>
                </c:pt>
                <c:pt idx="1">
                  <c:v>2.5299999999999998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C-4BD9-A85C-51770A5EF9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7660063"/>
        <c:axId val="1976443119"/>
      </c:barChart>
      <c:catAx>
        <c:axId val="196766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3119"/>
        <c:crosses val="autoZero"/>
        <c:auto val="1"/>
        <c:lblAlgn val="ctr"/>
        <c:lblOffset val="100"/>
        <c:noMultiLvlLbl val="0"/>
      </c:catAx>
      <c:valAx>
        <c:axId val="19764431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goals per match</a:t>
                </a:r>
              </a:p>
            </c:rich>
          </c:tx>
          <c:layout>
            <c:manualLayout>
              <c:xMode val="edge"/>
              <c:yMode val="edge"/>
              <c:x val="6.4595371793665229E-2"/>
              <c:y val="0.38871961888908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6766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Scoring Teams: Avg Goal Difference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'[1]ANSWER 2'!$D$5</c:f>
              <c:strCache>
                <c:ptCount val="1"/>
                <c:pt idx="0">
                  <c:v>Total 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'[1]ANSWER 2'!$B$6:$B$10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Spain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'[1]ANSWER 2'!$D$6:$D$10</c:f>
              <c:numCache>
                <c:formatCode>General</c:formatCode>
                <c:ptCount val="5"/>
                <c:pt idx="0">
                  <c:v>17</c:v>
                </c:pt>
                <c:pt idx="1">
                  <c:v>16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5-433F-9187-E8FE0B3D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25775"/>
        <c:axId val="37724943"/>
      </c:barChart>
      <c:lineChart>
        <c:grouping val="standard"/>
        <c:varyColors val="0"/>
        <c:ser>
          <c:idx val="1"/>
          <c:order val="1"/>
          <c:tx>
            <c:strRef>
              <c:f>'[1]ANSWER 2'!$H$5</c:f>
              <c:strCache>
                <c:ptCount val="1"/>
                <c:pt idx="0">
                  <c:v>Avg Goal Difference / Match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'[1]ANSWER 2'!$B$6:$B$10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Spain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'[1]ANSWER 2'!$H$6:$H$10</c:f>
              <c:numCache>
                <c:formatCode>General</c:formatCode>
                <c:ptCount val="5"/>
                <c:pt idx="0">
                  <c:v>0.88</c:v>
                </c:pt>
                <c:pt idx="1">
                  <c:v>1</c:v>
                </c:pt>
                <c:pt idx="2">
                  <c:v>0.5</c:v>
                </c:pt>
                <c:pt idx="3">
                  <c:v>1.2</c:v>
                </c:pt>
                <c:pt idx="4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5-433F-9187-E8FE0B3D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30079"/>
        <c:axId val="201828831"/>
      </c:lineChart>
      <c:catAx>
        <c:axId val="3772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4943"/>
        <c:crosses val="autoZero"/>
        <c:auto val="1"/>
        <c:lblAlgn val="ctr"/>
        <c:lblOffset val="100"/>
        <c:noMultiLvlLbl val="0"/>
      </c:catAx>
      <c:valAx>
        <c:axId val="37724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Goal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5775"/>
        <c:crosses val="autoZero"/>
        <c:crossBetween val="between"/>
      </c:valAx>
      <c:valAx>
        <c:axId val="201828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Avg Goal Difference / Match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0079"/>
        <c:crosses val="max"/>
        <c:crossBetween val="between"/>
      </c:valAx>
      <c:catAx>
        <c:axId val="201830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828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'[2]ANSWER 3'!$F$3</c:f>
              <c:strCache>
                <c:ptCount val="1"/>
                <c:pt idx="0">
                  <c:v>clean_sheet_percentage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'[2]ANSWER 3'!$B$4:$B$14</c:f>
              <c:strCache>
                <c:ptCount val="11"/>
                <c:pt idx="0">
                  <c:v>Germany</c:v>
                </c:pt>
                <c:pt idx="1">
                  <c:v>Canada</c:v>
                </c:pt>
                <c:pt idx="2">
                  <c:v>Netherlands</c:v>
                </c:pt>
                <c:pt idx="3">
                  <c:v>Morocco</c:v>
                </c:pt>
                <c:pt idx="4">
                  <c:v>Belgium</c:v>
                </c:pt>
                <c:pt idx="5">
                  <c:v>Senegal</c:v>
                </c:pt>
                <c:pt idx="6">
                  <c:v>Portugal</c:v>
                </c:pt>
                <c:pt idx="7">
                  <c:v>Bosnia and Herzegovina</c:v>
                </c:pt>
                <c:pt idx="8">
                  <c:v>Cabo Verde</c:v>
                </c:pt>
                <c:pt idx="9">
                  <c:v>Haiti</c:v>
                </c:pt>
                <c:pt idx="10">
                  <c:v>Iraq</c:v>
                </c:pt>
              </c:strCache>
            </c:strRef>
          </c:cat>
          <c:val>
            <c:numRef>
              <c:f>'[2]ANSWER 3'!$F$4:$F$14</c:f>
              <c:numCache>
                <c:formatCode>General</c:formatCode>
                <c:ptCount val="11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60</c:v>
                </c:pt>
                <c:pt idx="7">
                  <c:v>66.67</c:v>
                </c:pt>
                <c:pt idx="8">
                  <c:v>66.67</c:v>
                </c:pt>
                <c:pt idx="9">
                  <c:v>66.67</c:v>
                </c:pt>
                <c:pt idx="10">
                  <c:v>66.67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6-4330-9517-A8ECCB6F40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972463"/>
        <c:axId val="199972047"/>
      </c:barChart>
      <c:catAx>
        <c:axId val="199972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2047"/>
        <c:crosses val="autoZero"/>
        <c:auto val="1"/>
        <c:lblAlgn val="ctr"/>
        <c:lblOffset val="100"/>
        <c:noMultiLvlLbl val="0"/>
      </c:catAx>
      <c:valAx>
        <c:axId val="19997204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Clean Sheet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997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5 AVG HIGH SCORING VENUE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'[3]ANSWER 4'!$D$3</c:f>
              <c:strCache>
                <c:ptCount val="1"/>
                <c:pt idx="0">
                  <c:v>avg_goals_per_match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'[3]ANSWER 4'!$A$4:$A$11</c:f>
              <c:strCache>
                <c:ptCount val="8"/>
                <c:pt idx="0">
                  <c:v>Levi's Stadium, Santa Clara</c:v>
                </c:pt>
                <c:pt idx="1">
                  <c:v>Arrowhead Stadium, Kansas City</c:v>
                </c:pt>
                <c:pt idx="2">
                  <c:v>Estadio BBVA, Guadalupe</c:v>
                </c:pt>
                <c:pt idx="3">
                  <c:v>Estadio Azteca, Mexico City</c:v>
                </c:pt>
                <c:pt idx="4">
                  <c:v>Estadio Akron, Guadalajara</c:v>
                </c:pt>
                <c:pt idx="5">
                  <c:v>SoFi Stadium, Inglewood</c:v>
                </c:pt>
                <c:pt idx="6">
                  <c:v>BC Place, Vancouver</c:v>
                </c:pt>
                <c:pt idx="7">
                  <c:v>Mercedes-Benz Stadium, Atlanta</c:v>
                </c:pt>
              </c:strCache>
            </c:strRef>
          </c:cat>
          <c:val>
            <c:numRef>
              <c:f>'[3]ANSWER 4'!$D$4:$D$11</c:f>
              <c:numCache>
                <c:formatCode>General</c:formatCode>
                <c:ptCount val="8"/>
                <c:pt idx="0">
                  <c:v>2.67</c:v>
                </c:pt>
                <c:pt idx="1">
                  <c:v>2.67</c:v>
                </c:pt>
                <c:pt idx="2">
                  <c:v>2.71</c:v>
                </c:pt>
                <c:pt idx="3">
                  <c:v>2.4300000000000002</c:v>
                </c:pt>
                <c:pt idx="4">
                  <c:v>2.29</c:v>
                </c:pt>
                <c:pt idx="5">
                  <c:v>3</c:v>
                </c:pt>
                <c:pt idx="6">
                  <c:v>2.29</c:v>
                </c:pt>
                <c:pt idx="7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7-4F52-BF67-5B91A7A328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0923935"/>
        <c:axId val="190923103"/>
      </c:barChart>
      <c:catAx>
        <c:axId val="19092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3103"/>
        <c:crosses val="autoZero"/>
        <c:auto val="1"/>
        <c:lblAlgn val="ctr"/>
        <c:lblOffset val="100"/>
        <c:noMultiLvlLbl val="0"/>
      </c:catAx>
      <c:valAx>
        <c:axId val="19092310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goal per match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09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Top Venues by Tight Finishes (Draws &amp; Extra Time)</a:t>
            </a:r>
            <a:endParaRPr lang="en-US" sz="1200"/>
          </a:p>
        </c:rich>
      </c:tx>
      <c:layout>
        <c:manualLayout>
          <c:xMode val="edge"/>
          <c:yMode val="edge"/>
          <c:x val="0.1425137795275590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948490813648293"/>
          <c:y val="0.16041666666666668"/>
          <c:w val="0.66995953630796146"/>
          <c:h val="0.546967410323709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'[3]ANSWER 4'!$G$37</c:f>
              <c:strCache>
                <c:ptCount val="1"/>
                <c:pt idx="0">
                  <c:v>total_tight_finishes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'[3]ANSWER 4'!$A$38:$A$40</c:f>
              <c:strCache>
                <c:ptCount val="3"/>
                <c:pt idx="0">
                  <c:v>Estadio BBVA, Guadalupe</c:v>
                </c:pt>
                <c:pt idx="1">
                  <c:v>SoFi Stadium, Inglewood</c:v>
                </c:pt>
                <c:pt idx="2">
                  <c:v>Lumen Field, Seattle</c:v>
                </c:pt>
              </c:strCache>
            </c:strRef>
          </c:cat>
          <c:val>
            <c:numRef>
              <c:f>'[3]ANSWER 4'!$G$38:$G$40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6-49ED-B25F-898FCA0D8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561471"/>
        <c:axId val="2093767839"/>
      </c:barChart>
      <c:catAx>
        <c:axId val="7356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767839"/>
        <c:crosses val="autoZero"/>
        <c:auto val="1"/>
        <c:lblAlgn val="ctr"/>
        <c:lblOffset val="100"/>
        <c:noMultiLvlLbl val="0"/>
      </c:catAx>
      <c:valAx>
        <c:axId val="209376783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Tight Finishes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356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Win Rate &amp; Points Comparison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40261628754738993"/>
          <c:w val="0.85662729658792647"/>
          <c:h val="0.546457786526684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'[4]ANSWER 5'!$C$5</c:f>
              <c:strCache>
                <c:ptCount val="1"/>
                <c:pt idx="0">
                  <c:v>win_percentage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'[4]ANSWER 5'!$A$6:$A$7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'[4]ANSWER 5'!$C$6:$C$7</c:f>
              <c:numCache>
                <c:formatCode>General</c:formatCode>
                <c:ptCount val="2"/>
                <c:pt idx="0">
                  <c:v>56.73</c:v>
                </c:pt>
                <c:pt idx="1">
                  <c:v>24.04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B-4381-969E-3956A01C2C48}"/>
            </c:ext>
          </c:extLst>
        </c:ser>
        <c:ser>
          <c:idx val="1"/>
          <c:order val="1"/>
          <c:tx>
            <c:strRef>
              <c:f>'[4]ANSWER 5'!$D$5</c:f>
              <c:strCache>
                <c:ptCount val="1"/>
                <c:pt idx="0">
                  <c:v>draw_percentage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'[4]ANSWER 5'!$A$6:$A$7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'[4]ANSWER 5'!$D$6:$D$7</c:f>
              <c:numCache>
                <c:formatCode>General</c:formatCode>
                <c:ptCount val="2"/>
                <c:pt idx="0">
                  <c:v>19.23</c:v>
                </c:pt>
                <c:pt idx="1">
                  <c:v>19.23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B-4381-969E-3956A01C2C48}"/>
            </c:ext>
          </c:extLst>
        </c:ser>
        <c:ser>
          <c:idx val="2"/>
          <c:order val="2"/>
          <c:tx>
            <c:strRef>
              <c:f>'[4]ANSWER 5'!$E$5</c:f>
              <c:strCache>
                <c:ptCount val="1"/>
                <c:pt idx="0">
                  <c:v>loss_percentage</c:v>
                </c:pt>
              </c:strCache>
            </c:strRef>
          </c:tx>
          <c:spPr>
            <a:solidFill>
              <a:srgbClr val="FF3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'[4]ANSWER 5'!$A$6:$A$7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'[4]ANSWER 5'!$E$6:$E$7</c:f>
              <c:numCache>
                <c:formatCode>General</c:formatCode>
                <c:ptCount val="2"/>
                <c:pt idx="0">
                  <c:v>24.04</c:v>
                </c:pt>
                <c:pt idx="1">
                  <c:v>56.73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B-4381-969E-3956A01C2C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8999312"/>
        <c:axId val="1848996816"/>
      </c:barChart>
      <c:catAx>
        <c:axId val="184899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96816"/>
        <c:crosses val="autoZero"/>
        <c:auto val="1"/>
        <c:lblAlgn val="ctr"/>
        <c:lblOffset val="100"/>
        <c:noMultiLvlLbl val="0"/>
      </c:catAx>
      <c:valAx>
        <c:axId val="184899681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8489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442760279965002"/>
          <c:y val="0.35486111111111113"/>
          <c:w val="0.710033683289588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Penalty Shootout Margin of Victory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35616641985764E-2"/>
          <c:y val="0.25394054126648657"/>
          <c:w val="0.88409647899122357"/>
          <c:h val="0.623560380746782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'[6]answer 7'!$B$4:$D$4</c:f>
              <c:strCache>
                <c:ptCount val="3"/>
                <c:pt idx="0">
                  <c:v>min margin</c:v>
                </c:pt>
                <c:pt idx="1">
                  <c:v>avg margin</c:v>
                </c:pt>
                <c:pt idx="2">
                  <c:v>max margin</c:v>
                </c:pt>
              </c:strCache>
            </c:strRef>
          </c:cat>
          <c:val>
            <c:numRef>
              <c:f>'[6]answer 7'!$B$5:$D$5</c:f>
              <c:numCache>
                <c:formatCode>General</c:formatCode>
                <c:ptCount val="3"/>
                <c:pt idx="0">
                  <c:v>1</c:v>
                </c:pt>
                <c:pt idx="1">
                  <c:v>1.25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1-493E-8758-FC34B54A85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8274111"/>
        <c:axId val="908270367"/>
      </c:barChart>
      <c:catAx>
        <c:axId val="9082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70367"/>
        <c:crosses val="autoZero"/>
        <c:auto val="1"/>
        <c:lblAlgn val="ctr"/>
        <c:lblOffset val="100"/>
        <c:noMultiLvlLbl val="0"/>
      </c:catAx>
      <c:valAx>
        <c:axId val="90827036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Shootout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0827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Group Competitiveness &amp; Goal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76038382526122E-2"/>
          <c:y val="0.19518505588090948"/>
          <c:w val="0.90018768780662983"/>
          <c:h val="0.53595272264725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'[7]ANSWER 8'!$B$1</c:f>
              <c:strCache>
                <c:ptCount val="1"/>
                <c:pt idx="0">
                  <c:v>Goal Difference Spread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'[7]ANSWER 8'!$A$2:$A$13</c:f>
              <c:strCache>
                <c:ptCount val="12"/>
                <c:pt idx="0">
                  <c:v>Group F</c:v>
                </c:pt>
                <c:pt idx="1">
                  <c:v>Group L</c:v>
                </c:pt>
                <c:pt idx="2">
                  <c:v>Group C</c:v>
                </c:pt>
                <c:pt idx="3">
                  <c:v>Group I</c:v>
                </c:pt>
                <c:pt idx="4">
                  <c:v>Group D</c:v>
                </c:pt>
                <c:pt idx="5">
                  <c:v>Group J</c:v>
                </c:pt>
                <c:pt idx="6">
                  <c:v>Group B</c:v>
                </c:pt>
                <c:pt idx="7">
                  <c:v>Group H</c:v>
                </c:pt>
                <c:pt idx="8">
                  <c:v>Group E</c:v>
                </c:pt>
                <c:pt idx="9">
                  <c:v>Group K</c:v>
                </c:pt>
                <c:pt idx="10">
                  <c:v>Group A</c:v>
                </c:pt>
                <c:pt idx="11">
                  <c:v>Group G</c:v>
                </c:pt>
              </c:strCache>
            </c:strRef>
          </c:cat>
          <c:val>
            <c:numRef>
              <c:f>'[7]ANSWER 8'!$B$2:$B$13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541-898F-107E0B5C69A3}"/>
            </c:ext>
          </c:extLst>
        </c:ser>
        <c:ser>
          <c:idx val="1"/>
          <c:order val="1"/>
          <c:tx>
            <c:strRef>
              <c:f>'[7]ANSWER 8'!$C$1</c:f>
              <c:strCache>
                <c:ptCount val="1"/>
                <c:pt idx="0">
                  <c:v>Cumulative Goals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'[7]ANSWER 8'!$A$2:$A$13</c:f>
              <c:strCache>
                <c:ptCount val="12"/>
                <c:pt idx="0">
                  <c:v>Group F</c:v>
                </c:pt>
                <c:pt idx="1">
                  <c:v>Group L</c:v>
                </c:pt>
                <c:pt idx="2">
                  <c:v>Group C</c:v>
                </c:pt>
                <c:pt idx="3">
                  <c:v>Group I</c:v>
                </c:pt>
                <c:pt idx="4">
                  <c:v>Group D</c:v>
                </c:pt>
                <c:pt idx="5">
                  <c:v>Group J</c:v>
                </c:pt>
                <c:pt idx="6">
                  <c:v>Group B</c:v>
                </c:pt>
                <c:pt idx="7">
                  <c:v>Group H</c:v>
                </c:pt>
                <c:pt idx="8">
                  <c:v>Group E</c:v>
                </c:pt>
                <c:pt idx="9">
                  <c:v>Group K</c:v>
                </c:pt>
                <c:pt idx="10">
                  <c:v>Group A</c:v>
                </c:pt>
                <c:pt idx="11">
                  <c:v>Group G</c:v>
                </c:pt>
              </c:strCache>
            </c:strRef>
          </c:cat>
          <c:val>
            <c:numRef>
              <c:f>'[7]ANSWER 8'!$C$2:$C$13</c:f>
              <c:numCache>
                <c:formatCode>General</c:formatCode>
                <c:ptCount val="12"/>
                <c:pt idx="0">
                  <c:v>13</c:v>
                </c:pt>
                <c:pt idx="1">
                  <c:v>13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4-4541-898F-107E0B5C69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9266688"/>
        <c:axId val="519274176"/>
      </c:barChart>
      <c:catAx>
        <c:axId val="51926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74176"/>
        <c:crosses val="autoZero"/>
        <c:auto val="1"/>
        <c:lblAlgn val="ctr"/>
        <c:lblOffset val="100"/>
        <c:noMultiLvlLbl val="0"/>
      </c:catAx>
      <c:valAx>
        <c:axId val="5192741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Metric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1926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92896486530733"/>
          <c:y val="0.10943779984747397"/>
          <c:w val="0.53709777295802097"/>
          <c:h val="7.6661510923641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</cx:f>
      </cx:strDim>
      <cx:numDim type="val">
        <cx:f dir="row">_xlchart.v2.0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Extra Time &amp; Penalty Shootout Progression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DF0A989C-2E2D-4439-894F-FFD44B14D904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3</xdr:row>
      <xdr:rowOff>80961</xdr:rowOff>
    </xdr:from>
    <xdr:to>
      <xdr:col>16</xdr:col>
      <xdr:colOff>542925</xdr:colOff>
      <xdr:row>18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ADA93-3758-4B28-A8CA-575D308C7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0.00996</cdr:x>
      <cdr:y>0.02792</cdr:y>
    </cdr:from>
    <cdr:to>
      <cdr:x>0.30876</cdr:x>
      <cdr:y>0.11659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F3D06A2C-7A34-4BA7-8AF1-33CD3238BCC9}"/>
            </a:ext>
          </a:extLst>
        </cdr:cNvPr>
        <cdr:cNvSpPr/>
      </cdr:nvSpPr>
      <cdr:spPr>
        <a:xfrm xmlns:a="http://schemas.openxmlformats.org/drawingml/2006/main">
          <a:off x="47625" y="80964"/>
          <a:ext cx="1428750" cy="257175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b="1"/>
            <a:t>Total Matches = 104</a:t>
          </a:r>
        </a:p>
      </cdr:txBody>
    </cdr:sp>
  </cdr:relSizeAnchor>
  <cdr:relSizeAnchor xmlns:cdr="http://schemas.openxmlformats.org/drawingml/2006/chartDrawing">
    <cdr:from>
      <cdr:x>0.00996</cdr:x>
      <cdr:y>0.13301</cdr:y>
    </cdr:from>
    <cdr:to>
      <cdr:x>0.30876</cdr:x>
      <cdr:y>0.22168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D4D8F669-1BA8-4E8F-8DA7-17F0D61422B1}"/>
            </a:ext>
          </a:extLst>
        </cdr:cNvPr>
        <cdr:cNvSpPr/>
      </cdr:nvSpPr>
      <cdr:spPr>
        <a:xfrm xmlns:a="http://schemas.openxmlformats.org/drawingml/2006/main">
          <a:off x="47625" y="385764"/>
          <a:ext cx="1428750" cy="257175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b="1"/>
            <a:t>Total Goals = 251</a:t>
          </a:r>
        </a:p>
      </cdr:txBody>
    </cdr:sp>
  </cdr:relSizeAnchor>
  <cdr:relSizeAnchor xmlns:cdr="http://schemas.openxmlformats.org/drawingml/2006/chartDrawing">
    <cdr:from>
      <cdr:x>0.00996</cdr:x>
      <cdr:y>0.2381</cdr:y>
    </cdr:from>
    <cdr:to>
      <cdr:x>0.38247</cdr:x>
      <cdr:y>0.33662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AB2A8FF7-A4E1-400A-8C31-E27B6003A364}"/>
            </a:ext>
          </a:extLst>
        </cdr:cNvPr>
        <cdr:cNvSpPr/>
      </cdr:nvSpPr>
      <cdr:spPr>
        <a:xfrm xmlns:a="http://schemas.openxmlformats.org/drawingml/2006/main">
          <a:off x="47625" y="690563"/>
          <a:ext cx="1781175" cy="285751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b="1"/>
            <a:t>Overall goals/match = 2.41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10</xdr:row>
      <xdr:rowOff>71436</xdr:rowOff>
    </xdr:from>
    <xdr:to>
      <xdr:col>6</xdr:col>
      <xdr:colOff>838200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673EC-DE35-4A58-94D6-1ED703141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166687</xdr:rowOff>
    </xdr:from>
    <xdr:to>
      <xdr:col>14</xdr:col>
      <xdr:colOff>28575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AD06F-ABC9-4186-BE5C-914F6BD5A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19</xdr:row>
      <xdr:rowOff>90487</xdr:rowOff>
    </xdr:from>
    <xdr:to>
      <xdr:col>5</xdr:col>
      <xdr:colOff>219075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74F9F-97F4-443A-B48A-A85DCFC5F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666750</xdr:colOff>
      <xdr:row>53</xdr:row>
      <xdr:rowOff>119062</xdr:rowOff>
    </xdr:from>
    <xdr:to>
      <xdr:col>6</xdr:col>
      <xdr:colOff>38100</xdr:colOff>
      <xdr:row>68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3067F-F246-4975-819D-1A047470A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0.02708</cdr:x>
      <cdr:y>0.78646</cdr:y>
    </cdr:from>
    <cdr:to>
      <cdr:x>0.99167</cdr:x>
      <cdr:y>0.96354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9BCCAE1-5997-48AA-8EE1-84E2D4C29EDD}"/>
            </a:ext>
          </a:extLst>
        </cdr:cNvPr>
        <cdr:cNvSpPr/>
      </cdr:nvSpPr>
      <cdr:spPr>
        <a:xfrm xmlns:a="http://schemas.openxmlformats.org/drawingml/2006/main">
          <a:off x="123825" y="2157413"/>
          <a:ext cx="4410075" cy="4857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accent1"/>
              </a:solidFill>
            </a:rPr>
            <a:t>Note:</a:t>
          </a:r>
          <a:r>
            <a:rPr lang="en-US">
              <a:solidFill>
                <a:schemeClr val="accent1"/>
              </a:solidFill>
            </a:rPr>
            <a:t> </a:t>
          </a:r>
          <a:r>
            <a:rPr lang="en-US" i="1">
              <a:solidFill>
                <a:schemeClr val="accent1"/>
              </a:solidFill>
            </a:rPr>
            <a:t>Venues recording the highest concentration of full-time draws and extra-time periods.</a:t>
          </a:r>
          <a:endParaRPr lang="en-US">
            <a:solidFill>
              <a:schemeClr val="accent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128587</xdr:rowOff>
    </xdr:from>
    <xdr:to>
      <xdr:col>5</xdr:col>
      <xdr:colOff>1085850</xdr:colOff>
      <xdr:row>22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74C47-C6D1-44C1-B2A3-DB3D072ED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0.19375</cdr:x>
      <cdr:y>0.13021</cdr:y>
    </cdr:from>
    <cdr:to>
      <cdr:x>0.7834</cdr:x>
      <cdr:y>0.22049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2961F5AC-5B35-4101-82A6-0FD589F5427D}"/>
            </a:ext>
          </a:extLst>
        </cdr:cNvPr>
        <cdr:cNvSpPr/>
      </cdr:nvSpPr>
      <cdr:spPr>
        <a:xfrm xmlns:a="http://schemas.openxmlformats.org/drawingml/2006/main">
          <a:off x="885825" y="357187"/>
          <a:ext cx="2695868" cy="247651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/>
            <a:t>Team Order 1</a:t>
          </a:r>
          <a:r>
            <a:rPr lang="en-US" b="1" baseline="0"/>
            <a:t> Avg points per match = 1.89</a:t>
          </a:r>
          <a:r>
            <a:rPr lang="en-US"/>
            <a:t> </a:t>
          </a:r>
        </a:p>
      </cdr:txBody>
    </cdr:sp>
  </cdr:relSizeAnchor>
  <cdr:relSizeAnchor xmlns:cdr="http://schemas.openxmlformats.org/drawingml/2006/chartDrawing">
    <cdr:from>
      <cdr:x>0.19167</cdr:x>
      <cdr:y>0.23438</cdr:y>
    </cdr:from>
    <cdr:to>
      <cdr:x>0.78333</cdr:x>
      <cdr:y>0.3316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BA45AB6B-E952-4AEC-9A0F-3F2029389A8A}"/>
            </a:ext>
          </a:extLst>
        </cdr:cNvPr>
        <cdr:cNvSpPr/>
      </cdr:nvSpPr>
      <cdr:spPr>
        <a:xfrm xmlns:a="http://schemas.openxmlformats.org/drawingml/2006/main">
          <a:off x="876301" y="642938"/>
          <a:ext cx="2705100" cy="266700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 Order 2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Avg points per match = 0.91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9</xdr:row>
      <xdr:rowOff>171450</xdr:rowOff>
    </xdr:from>
    <xdr:to>
      <xdr:col>5</xdr:col>
      <xdr:colOff>457201</xdr:colOff>
      <xdr:row>24</xdr:row>
      <xdr:rowOff>76200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69ADC85-F638-4538-9A50-C0812C8E2BA3}"/>
            </a:ext>
          </a:extLst>
        </xdr:cNvPr>
        <xdr:cNvGrpSpPr/>
      </xdr:nvGrpSpPr>
      <xdr:grpSpPr>
        <a:xfrm>
          <a:off x="5476875" y="1885950"/>
          <a:ext cx="4048126" cy="2762250"/>
          <a:chOff x="5476875" y="1885950"/>
          <a:chExt cx="4048126" cy="2762250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A60749A9-2C3E-4B19-B059-657ABA4E4440}"/>
                  </a:ext>
                </a:extLst>
              </xdr:cNvPr>
              <xdr:cNvGraphicFramePr/>
            </xdr:nvGraphicFramePr>
            <xdr:xfrm>
              <a:off x="5476875" y="1885950"/>
              <a:ext cx="4038600" cy="22098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76875" y="1885950"/>
                <a:ext cx="4038600" cy="22098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494237D-16F3-4A74-BEAF-8768E773DDB8}"/>
              </a:ext>
            </a:extLst>
          </xdr:cNvPr>
          <xdr:cNvGrpSpPr/>
        </xdr:nvGrpSpPr>
        <xdr:grpSpPr>
          <a:xfrm>
            <a:off x="5486400" y="4086224"/>
            <a:ext cx="4038601" cy="561976"/>
            <a:chOff x="5381625" y="3981449"/>
            <a:chExt cx="4038601" cy="561976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AD65B900-D42E-4954-8746-F9A8897B4221}"/>
                </a:ext>
              </a:extLst>
            </xdr:cNvPr>
            <xdr:cNvSpPr/>
          </xdr:nvSpPr>
          <xdr:spPr>
            <a:xfrm>
              <a:off x="5381625" y="3981449"/>
              <a:ext cx="1952625" cy="561975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b="1"/>
                <a:t>Extra Time Rate  = 28.13%</a:t>
              </a:r>
              <a:endParaRPr lang="en-US" sz="1100" b="1"/>
            </a:p>
          </xdr:txBody>
        </xdr:sp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A8BC6820-A70A-406B-9997-4C83C8918758}"/>
                </a:ext>
              </a:extLst>
            </xdr:cNvPr>
            <xdr:cNvSpPr/>
          </xdr:nvSpPr>
          <xdr:spPr>
            <a:xfrm>
              <a:off x="7372350" y="3981449"/>
              <a:ext cx="2047876" cy="561976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b="1"/>
                <a:t>Penalty Shootout Rate Among ET Matches</a:t>
              </a:r>
              <a:r>
                <a:rPr lang="en-US" b="0" baseline="0"/>
                <a:t> = </a:t>
              </a:r>
              <a:r>
                <a:rPr lang="en-US" b="1"/>
                <a:t>44.44%</a:t>
              </a:r>
              <a:endParaRPr lang="en-US" sz="1100" b="1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542924</xdr:colOff>
      <xdr:row>5</xdr:row>
      <xdr:rowOff>100012</xdr:rowOff>
    </xdr:from>
    <xdr:to>
      <xdr:col>4</xdr:col>
      <xdr:colOff>1162050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0EAAC-5237-4AF7-A7CC-589B29FD6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0.20349</cdr:x>
      <cdr:y>0.13267</cdr:y>
    </cdr:from>
    <cdr:to>
      <cdr:x>0.80523</cdr:x>
      <cdr:y>0.23168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68FC9198-D176-47AE-AB44-1E9EC475E3F4}"/>
            </a:ext>
          </a:extLst>
        </cdr:cNvPr>
        <cdr:cNvSpPr/>
      </cdr:nvSpPr>
      <cdr:spPr>
        <a:xfrm xmlns:a="http://schemas.openxmlformats.org/drawingml/2006/main">
          <a:off x="666751" y="319087"/>
          <a:ext cx="1971675" cy="238125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b="1"/>
            <a:t>Penalty Shootout Matches :</a:t>
          </a:r>
          <a:r>
            <a:rPr lang="en-US"/>
            <a:t> 4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61912</xdr:rowOff>
    </xdr:from>
    <xdr:to>
      <xdr:col>12</xdr:col>
      <xdr:colOff>466725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39467-F161-40E7-BA87-535D3C43E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0.87734</cdr:y>
    </cdr:from>
    <cdr:to>
      <cdr:x>1</cdr:x>
      <cdr:y>0.98978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7337C1CB-E2A6-4C47-8C86-0E2B13F7E018}"/>
            </a:ext>
          </a:extLst>
        </cdr:cNvPr>
        <cdr:cNvSpPr/>
      </cdr:nvSpPr>
      <cdr:spPr>
        <a:xfrm xmlns:a="http://schemas.openxmlformats.org/drawingml/2006/main">
          <a:off x="0" y="2452687"/>
          <a:ext cx="4733925" cy="314325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en-US" sz="900" b="1"/>
            <a:t>Lower GD Spread = Higher Competitiveness | Higher Cumulative Goals = Higher Goal Production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NSW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2"/>
    </sheetNames>
    <sheetDataSet>
      <sheetData sheetId="0">
        <row r="5">
          <cell r="D5" t="str">
            <v>Total goals scored</v>
          </cell>
          <cell r="H5" t="str">
            <v>Avg Goal Difference / Match</v>
          </cell>
        </row>
        <row r="6">
          <cell r="B6" t="str">
            <v>Brazil</v>
          </cell>
          <cell r="D6">
            <v>17</v>
          </cell>
          <cell r="H6">
            <v>0.88</v>
          </cell>
        </row>
        <row r="7">
          <cell r="B7" t="str">
            <v>France</v>
          </cell>
          <cell r="D7">
            <v>16</v>
          </cell>
          <cell r="H7">
            <v>1</v>
          </cell>
        </row>
        <row r="8">
          <cell r="B8" t="str">
            <v>Spain</v>
          </cell>
          <cell r="D8">
            <v>11</v>
          </cell>
          <cell r="H8">
            <v>0.5</v>
          </cell>
        </row>
        <row r="9">
          <cell r="B9" t="str">
            <v>Germany</v>
          </cell>
          <cell r="D9">
            <v>10</v>
          </cell>
          <cell r="H9">
            <v>1.2</v>
          </cell>
        </row>
        <row r="10">
          <cell r="B10" t="str">
            <v>Mexico</v>
          </cell>
          <cell r="D10">
            <v>10</v>
          </cell>
          <cell r="H10">
            <v>0.83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3"/>
    </sheetNames>
    <sheetDataSet>
      <sheetData sheetId="0">
        <row r="3">
          <cell r="F3" t="str">
            <v>clean_sheet_percentage</v>
          </cell>
        </row>
        <row r="4">
          <cell r="B4" t="str">
            <v>Germany</v>
          </cell>
          <cell r="F4">
            <v>40</v>
          </cell>
        </row>
        <row r="5">
          <cell r="B5" t="str">
            <v>Canada</v>
          </cell>
          <cell r="F5">
            <v>40</v>
          </cell>
        </row>
        <row r="6">
          <cell r="B6" t="str">
            <v>Netherlands</v>
          </cell>
          <cell r="F6">
            <v>50</v>
          </cell>
        </row>
        <row r="7">
          <cell r="B7" t="str">
            <v>Morocco</v>
          </cell>
          <cell r="F7">
            <v>50</v>
          </cell>
        </row>
        <row r="8">
          <cell r="B8" t="str">
            <v>Belgium</v>
          </cell>
          <cell r="F8">
            <v>50</v>
          </cell>
        </row>
        <row r="9">
          <cell r="B9" t="str">
            <v>Senegal</v>
          </cell>
          <cell r="F9">
            <v>50</v>
          </cell>
        </row>
        <row r="10">
          <cell r="B10" t="str">
            <v>Portugal</v>
          </cell>
          <cell r="F10">
            <v>60</v>
          </cell>
        </row>
        <row r="11">
          <cell r="B11" t="str">
            <v>Bosnia and Herzegovina</v>
          </cell>
          <cell r="F11">
            <v>66.67</v>
          </cell>
        </row>
        <row r="12">
          <cell r="B12" t="str">
            <v>Cabo Verde</v>
          </cell>
          <cell r="F12">
            <v>66.67</v>
          </cell>
        </row>
        <row r="13">
          <cell r="B13" t="str">
            <v>Haiti</v>
          </cell>
          <cell r="F13">
            <v>66.67</v>
          </cell>
        </row>
        <row r="14">
          <cell r="B14" t="str">
            <v>Iraq</v>
          </cell>
          <cell r="F14">
            <v>66.67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4"/>
    </sheetNames>
    <sheetDataSet>
      <sheetData sheetId="0">
        <row r="3">
          <cell r="D3" t="str">
            <v>avg_goals_per_match</v>
          </cell>
        </row>
        <row r="4">
          <cell r="A4" t="str">
            <v>Levi's Stadium, Santa Clara</v>
          </cell>
          <cell r="D4">
            <v>2.67</v>
          </cell>
        </row>
        <row r="5">
          <cell r="A5" t="str">
            <v>Arrowhead Stadium, Kansas City</v>
          </cell>
          <cell r="D5">
            <v>2.67</v>
          </cell>
        </row>
        <row r="6">
          <cell r="A6" t="str">
            <v>Estadio BBVA, Guadalupe</v>
          </cell>
          <cell r="D6">
            <v>2.71</v>
          </cell>
        </row>
        <row r="7">
          <cell r="A7" t="str">
            <v>Estadio Azteca, Mexico City</v>
          </cell>
          <cell r="D7">
            <v>2.4300000000000002</v>
          </cell>
        </row>
        <row r="8">
          <cell r="A8" t="str">
            <v>Estadio Akron, Guadalajara</v>
          </cell>
          <cell r="D8">
            <v>2.29</v>
          </cell>
        </row>
        <row r="9">
          <cell r="A9" t="str">
            <v>SoFi Stadium, Inglewood</v>
          </cell>
          <cell r="D9">
            <v>3</v>
          </cell>
        </row>
        <row r="10">
          <cell r="A10" t="str">
            <v>BC Place, Vancouver</v>
          </cell>
          <cell r="D10">
            <v>2.29</v>
          </cell>
        </row>
        <row r="11">
          <cell r="A11" t="str">
            <v>Mercedes-Benz Stadium, Atlanta</v>
          </cell>
          <cell r="D11">
            <v>3.33</v>
          </cell>
        </row>
        <row r="37">
          <cell r="G37" t="str">
            <v>total_tight_finishes</v>
          </cell>
        </row>
        <row r="38">
          <cell r="A38" t="str">
            <v>Estadio BBVA, Guadalupe</v>
          </cell>
          <cell r="G38">
            <v>4</v>
          </cell>
        </row>
        <row r="39">
          <cell r="A39" t="str">
            <v>SoFi Stadium, Inglewood</v>
          </cell>
          <cell r="G39">
            <v>3</v>
          </cell>
        </row>
        <row r="40">
          <cell r="A40" t="str">
            <v>Lumen Field, Seattle</v>
          </cell>
          <cell r="G40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5"/>
    </sheetNames>
    <sheetDataSet>
      <sheetData sheetId="0">
        <row r="5">
          <cell r="C5" t="str">
            <v>win_percentage</v>
          </cell>
          <cell r="D5" t="str">
            <v>draw_percentage</v>
          </cell>
          <cell r="E5" t="str">
            <v>loss_percentage</v>
          </cell>
        </row>
        <row r="6">
          <cell r="A6">
            <v>1</v>
          </cell>
          <cell r="C6">
            <v>56.73</v>
          </cell>
          <cell r="D6">
            <v>19.23</v>
          </cell>
          <cell r="E6">
            <v>24.04</v>
          </cell>
        </row>
        <row r="7">
          <cell r="A7">
            <v>2</v>
          </cell>
          <cell r="C7">
            <v>24.04</v>
          </cell>
          <cell r="D7">
            <v>19.23</v>
          </cell>
          <cell r="E7">
            <v>56.73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6"/>
    </sheetNames>
    <sheetDataSet>
      <sheetData sheetId="0">
        <row r="9">
          <cell r="A9" t="str">
            <v>Knockout Matches</v>
          </cell>
          <cell r="B9" t="str">
            <v>Extra Time Matches</v>
          </cell>
          <cell r="C9" t="str">
            <v>Penalty Shootout Matches</v>
          </cell>
        </row>
        <row r="10">
          <cell r="A10">
            <v>32</v>
          </cell>
          <cell r="B10">
            <v>9</v>
          </cell>
          <cell r="C10">
            <v>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7"/>
    </sheetNames>
    <sheetDataSet>
      <sheetData sheetId="0">
        <row r="4">
          <cell r="B4" t="str">
            <v>min margin</v>
          </cell>
          <cell r="C4" t="str">
            <v>avg margin</v>
          </cell>
          <cell r="D4" t="str">
            <v>max margin</v>
          </cell>
        </row>
        <row r="5">
          <cell r="B5">
            <v>1</v>
          </cell>
          <cell r="C5">
            <v>1.25</v>
          </cell>
          <cell r="D5">
            <v>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WER 8"/>
    </sheetNames>
    <sheetDataSet>
      <sheetData sheetId="0">
        <row r="1">
          <cell r="B1" t="str">
            <v>Goal Difference Spread</v>
          </cell>
          <cell r="C1" t="str">
            <v>Cumulative Goals</v>
          </cell>
        </row>
        <row r="2">
          <cell r="A2" t="str">
            <v>Group F</v>
          </cell>
          <cell r="B2">
            <v>4</v>
          </cell>
          <cell r="C2">
            <v>13</v>
          </cell>
        </row>
        <row r="3">
          <cell r="A3" t="str">
            <v>Group L</v>
          </cell>
          <cell r="B3">
            <v>4</v>
          </cell>
          <cell r="C3">
            <v>13</v>
          </cell>
        </row>
        <row r="4">
          <cell r="A4" t="str">
            <v>Group C</v>
          </cell>
          <cell r="B4">
            <v>5</v>
          </cell>
          <cell r="C4">
            <v>16</v>
          </cell>
        </row>
        <row r="5">
          <cell r="A5" t="str">
            <v>Group I</v>
          </cell>
          <cell r="B5">
            <v>5</v>
          </cell>
          <cell r="C5">
            <v>16</v>
          </cell>
        </row>
        <row r="6">
          <cell r="A6" t="str">
            <v>Group D</v>
          </cell>
          <cell r="B6">
            <v>6</v>
          </cell>
          <cell r="C6">
            <v>14</v>
          </cell>
        </row>
        <row r="7">
          <cell r="A7" t="str">
            <v>Group J</v>
          </cell>
          <cell r="B7">
            <v>6</v>
          </cell>
          <cell r="C7">
            <v>14</v>
          </cell>
        </row>
        <row r="8">
          <cell r="A8" t="str">
            <v>Group B</v>
          </cell>
          <cell r="B8">
            <v>7</v>
          </cell>
          <cell r="C8">
            <v>12</v>
          </cell>
        </row>
        <row r="9">
          <cell r="A9" t="str">
            <v>Group H</v>
          </cell>
          <cell r="B9">
            <v>7</v>
          </cell>
          <cell r="C9">
            <v>12</v>
          </cell>
        </row>
        <row r="10">
          <cell r="A10" t="str">
            <v>Group E</v>
          </cell>
          <cell r="B10">
            <v>8</v>
          </cell>
          <cell r="C10">
            <v>15</v>
          </cell>
        </row>
        <row r="11">
          <cell r="A11" t="str">
            <v>Group K</v>
          </cell>
          <cell r="B11">
            <v>8</v>
          </cell>
          <cell r="C11">
            <v>15</v>
          </cell>
        </row>
        <row r="12">
          <cell r="A12" t="str">
            <v>Group A</v>
          </cell>
          <cell r="B12">
            <v>9</v>
          </cell>
          <cell r="C12">
            <v>15</v>
          </cell>
        </row>
        <row r="13">
          <cell r="A13" t="str">
            <v>Group G</v>
          </cell>
          <cell r="B13">
            <v>9</v>
          </cell>
          <cell r="C13">
            <v>15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17A3F-D927-42A0-92CA-825A06862359}" name="Table1" displayName="Table1" ref="A3:I19" totalsRowShown="0">
  <autoFilter ref="A3:I19" xr:uid="{45A17A3F-D927-42A0-92CA-825A06862359}"/>
  <sortState xmlns:xlrd2="http://schemas.microsoft.com/office/spreadsheetml/2017/richdata2" ref="A4:I11">
    <sortCondition ref="D3:D19"/>
  </sortState>
  <tableColumns count="9">
    <tableColumn id="1" xr3:uid="{2775D7AE-69B9-4E33-930F-33DD1051014E}" name="venue"/>
    <tableColumn id="2" xr3:uid="{7BB06117-C04B-49A9-BC12-96527A281B99}" name="total_matches"/>
    <tableColumn id="3" xr3:uid="{27249A12-F0B6-46E7-B83F-1278AD502607}" name="total_goals"/>
    <tableColumn id="4" xr3:uid="{4239E0DD-4841-451F-A5A3-70BF4880ACC0}" name="avg_goals_per_match"/>
    <tableColumn id="5" xr3:uid="{42E0FAC4-C19F-43DD-8431-988CA3565891}" name="total_draws"/>
    <tableColumn id="6" xr3:uid="{CB966457-8F6A-4408-B576-B7C552647666}" name="total_extra_time"/>
    <tableColumn id="7" xr3:uid="{614F7FD6-3427-4DDE-848E-144ACC9E9BCE}" name="total_tight_finishes"/>
    <tableColumn id="8" xr3:uid="{155CB675-7321-4192-8409-E7F6390B27DD}" name="rank_highest_scoring"/>
    <tableColumn id="9" xr3:uid="{E37395F4-182E-4B11-ADDB-3DE7A2C16711}" name="rank_most_draws_extra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EA494-4352-42BE-9A42-55F42CE2AB0E}" name="Table2" displayName="Table2" ref="A37:I53" totalsRowShown="0">
  <autoFilter ref="A37:I53" xr:uid="{3ECEA494-4352-42BE-9A42-55F42CE2AB0E}"/>
  <sortState xmlns:xlrd2="http://schemas.microsoft.com/office/spreadsheetml/2017/richdata2" ref="A38:I53">
    <sortCondition ref="I37:I53"/>
  </sortState>
  <tableColumns count="9">
    <tableColumn id="1" xr3:uid="{F837D1C7-00E5-42DA-9A09-FF9A18229EF2}" name="venue"/>
    <tableColumn id="2" xr3:uid="{D88D8C18-443C-47F6-994E-D4184C3BC23D}" name="total_matches"/>
    <tableColumn id="3" xr3:uid="{8048290A-480E-41CE-AF75-E12EE026E891}" name="total_goals"/>
    <tableColumn id="4" xr3:uid="{6D6BE045-B57E-4695-8C1F-F5B6ED7C5E40}" name="avg_goals_per_match"/>
    <tableColumn id="5" xr3:uid="{13EE3F06-5973-4BA1-A196-A80A71DCB592}" name="total_draws"/>
    <tableColumn id="6" xr3:uid="{E043EF5C-19C9-4DA1-95BE-528259627600}" name="total_extra_time"/>
    <tableColumn id="7" xr3:uid="{376101CE-BC2D-48E3-8ACC-DDF05C7C3CB4}" name="total_tight_finishes"/>
    <tableColumn id="8" xr3:uid="{1DE690B3-B133-4DEC-8378-DF2EAEA44A8A}" name="rank_highest_scoring"/>
    <tableColumn id="9" xr3:uid="{B8B8115A-AED2-421B-9682-DBC541B85764}" name="rank_most_draws_extra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F0FEC-3D00-4135-83C1-D1E7922CB566}" name="Table14" displayName="Table14" ref="A5:F7" totalsRowShown="0">
  <autoFilter ref="A5:F7" xr:uid="{32CF0FEC-3D00-4135-83C1-D1E7922CB566}"/>
  <tableColumns count="6">
    <tableColumn id="1" xr3:uid="{8FC8071D-B85E-4FC6-B2ED-7C233AB5AE58}" name="team_order"/>
    <tableColumn id="2" xr3:uid="{757A89EF-B96D-4154-A69E-16BB4387550B}" name="total_matches"/>
    <tableColumn id="3" xr3:uid="{B224E145-BBD5-44D8-8925-CBF9B5871145}" name="win_percentage"/>
    <tableColumn id="4" xr3:uid="{90E3F227-58B5-430D-AC4E-C576E3C9DCD1}" name="draw_percentage"/>
    <tableColumn id="5" xr3:uid="{B065B3F9-F9F3-46D4-9788-17C032866C1E}" name="loss_percentage"/>
    <tableColumn id="6" xr3:uid="{38703FC7-8B11-4617-8B67-37FC3A64AED0}" name="avg_points_per_mat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08A608-5D7A-49BA-B8B1-B8E9CC77D6B8}" name="Table15" displayName="Table15" ref="A4:E5" totalsRowShown="0">
  <autoFilter ref="A4:E5" xr:uid="{F508A608-5D7A-49BA-B8B1-B8E9CC77D6B8}"/>
  <tableColumns count="5">
    <tableColumn id="1" xr3:uid="{91BBA3A8-0D4F-46DF-9DD0-003D64DEDB35}" name="total_knockout_matches"/>
    <tableColumn id="2" xr3:uid="{6D6065DB-42CD-4415-9F07-A7F67B0DB2AE}" name="matches_with_extra_time"/>
    <tableColumn id="3" xr3:uid="{D14C5AD5-334E-4FF6-BC25-994155AC546E}" name="matches_with_penalties"/>
    <tableColumn id="4" xr3:uid="{8F093E9E-A09A-47F3-9BF0-B5B96D2C8A1D}" name="extra_time_percentage"/>
    <tableColumn id="5" xr3:uid="{0D272C3E-DA65-4772-8553-49D07958520D}" name="penalty_shootout_proportion_of_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C16C65-82F1-4AE3-A410-82C9E823826D}" name="Table16" displayName="Table16" ref="A4:D5" totalsRowShown="0">
  <autoFilter ref="A4:D5" xr:uid="{75C16C65-82F1-4AE3-A410-82C9E823826D}"/>
  <tableColumns count="4">
    <tableColumn id="1" xr3:uid="{073B38C6-0A5C-4076-89D4-224C1DFAFB91}" name="total_penalty_shootout_matches"/>
    <tableColumn id="9" xr3:uid="{5FD99700-6CD4-4EA9-991E-7A90BF46EC9B}" name="min margin"/>
    <tableColumn id="2" xr3:uid="{2A71F6E8-2C67-4B11-B518-53EB7FA909C8}" name="avg margin"/>
    <tableColumn id="3" xr3:uid="{CF711B10-66EC-4BD1-A07E-4B40355C6E90}" name="max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5" sqref="D15"/>
    </sheetView>
  </sheetViews>
  <sheetFormatPr defaultRowHeight="15" x14ac:dyDescent="0.25"/>
  <cols>
    <col min="2" max="2" width="13.7109375" bestFit="1" customWidth="1"/>
    <col min="3" max="3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 t="s">
        <v>5</v>
      </c>
      <c r="B2">
        <v>72</v>
      </c>
      <c r="C2">
        <v>170</v>
      </c>
      <c r="D2">
        <v>2.36</v>
      </c>
      <c r="G2" t="s">
        <v>6</v>
      </c>
    </row>
    <row r="3" spans="1:7" x14ac:dyDescent="0.25">
      <c r="A3" t="s">
        <v>7</v>
      </c>
      <c r="B3">
        <v>32</v>
      </c>
      <c r="C3">
        <v>81</v>
      </c>
      <c r="D3">
        <v>2.5299999999999998</v>
      </c>
    </row>
    <row r="4" spans="1:7" x14ac:dyDescent="0.25">
      <c r="A4" t="s">
        <v>8</v>
      </c>
      <c r="B4">
        <v>104</v>
      </c>
      <c r="C4">
        <v>251</v>
      </c>
      <c r="D4">
        <v>2.41</v>
      </c>
    </row>
    <row r="9" spans="1:7" x14ac:dyDescent="0.25">
      <c r="A9" t="s">
        <v>9</v>
      </c>
    </row>
    <row r="10" spans="1:7" x14ac:dyDescent="0.25">
      <c r="A10" t="s">
        <v>11</v>
      </c>
    </row>
    <row r="11" spans="1:7" x14ac:dyDescent="0.25">
      <c r="A11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22C6-081A-4CCB-AFDA-64D0BBD060DF}">
  <dimension ref="A1:H26"/>
  <sheetViews>
    <sheetView workbookViewId="0">
      <selection activeCell="J9" sqref="J9"/>
    </sheetView>
  </sheetViews>
  <sheetFormatPr defaultRowHeight="15" x14ac:dyDescent="0.25"/>
  <cols>
    <col min="4" max="4" width="17.85546875" bestFit="1" customWidth="1"/>
    <col min="5" max="5" width="20.5703125" bestFit="1" customWidth="1"/>
    <col min="6" max="6" width="21.7109375" bestFit="1" customWidth="1"/>
    <col min="7" max="7" width="20.28515625" bestFit="1" customWidth="1"/>
    <col min="8" max="8" width="31.28515625" bestFit="1" customWidth="1"/>
  </cols>
  <sheetData>
    <row r="1" spans="1:8" x14ac:dyDescent="0.25">
      <c r="A1" t="s">
        <v>12</v>
      </c>
    </row>
    <row r="2" spans="1:8" x14ac:dyDescent="0.25">
      <c r="A2" t="s">
        <v>13</v>
      </c>
    </row>
    <row r="5" spans="1:8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</v>
      </c>
      <c r="H5" t="s">
        <v>20</v>
      </c>
    </row>
    <row r="6" spans="1:8" x14ac:dyDescent="0.25">
      <c r="A6">
        <v>1</v>
      </c>
      <c r="B6" t="s">
        <v>21</v>
      </c>
      <c r="C6">
        <v>8</v>
      </c>
      <c r="D6">
        <v>17</v>
      </c>
      <c r="E6">
        <v>10</v>
      </c>
      <c r="F6">
        <v>7</v>
      </c>
      <c r="G6">
        <v>2.13</v>
      </c>
      <c r="H6">
        <v>0.88</v>
      </c>
    </row>
    <row r="7" spans="1:8" x14ac:dyDescent="0.25">
      <c r="A7">
        <v>2</v>
      </c>
      <c r="B7" t="s">
        <v>22</v>
      </c>
      <c r="C7">
        <v>8</v>
      </c>
      <c r="D7">
        <v>16</v>
      </c>
      <c r="E7">
        <v>8</v>
      </c>
      <c r="F7">
        <v>8</v>
      </c>
      <c r="G7">
        <v>2</v>
      </c>
      <c r="H7">
        <v>1</v>
      </c>
    </row>
    <row r="8" spans="1:8" x14ac:dyDescent="0.25">
      <c r="A8">
        <v>3</v>
      </c>
      <c r="B8" t="s">
        <v>23</v>
      </c>
      <c r="C8">
        <v>8</v>
      </c>
      <c r="D8">
        <v>11</v>
      </c>
      <c r="E8">
        <v>7</v>
      </c>
      <c r="F8">
        <v>4</v>
      </c>
      <c r="G8">
        <v>1.38</v>
      </c>
      <c r="H8">
        <v>0.5</v>
      </c>
    </row>
    <row r="9" spans="1:8" x14ac:dyDescent="0.25">
      <c r="A9">
        <v>4</v>
      </c>
      <c r="B9" t="s">
        <v>24</v>
      </c>
      <c r="C9">
        <v>5</v>
      </c>
      <c r="D9">
        <v>10</v>
      </c>
      <c r="E9">
        <v>4</v>
      </c>
      <c r="F9">
        <v>6</v>
      </c>
      <c r="G9">
        <v>2</v>
      </c>
      <c r="H9">
        <v>1.2</v>
      </c>
    </row>
    <row r="10" spans="1:8" x14ac:dyDescent="0.25">
      <c r="A10">
        <v>5</v>
      </c>
      <c r="B10" t="s">
        <v>25</v>
      </c>
      <c r="C10">
        <v>6</v>
      </c>
      <c r="D10">
        <v>10</v>
      </c>
      <c r="E10">
        <v>5</v>
      </c>
      <c r="F10">
        <v>5</v>
      </c>
      <c r="G10">
        <v>1.67</v>
      </c>
      <c r="H10">
        <v>0.83</v>
      </c>
    </row>
    <row r="26" spans="1:1" x14ac:dyDescent="0.25">
      <c r="A26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72C5-AA70-4133-A5C7-C5E68B7F1CE0}">
  <dimension ref="A1:F19"/>
  <sheetViews>
    <sheetView workbookViewId="0">
      <selection sqref="A1:XFD1048576"/>
    </sheetView>
  </sheetViews>
  <sheetFormatPr defaultRowHeight="15" x14ac:dyDescent="0.25"/>
  <sheetData>
    <row r="1" spans="1:6" x14ac:dyDescent="0.25">
      <c r="A1" t="s">
        <v>27</v>
      </c>
    </row>
    <row r="3" spans="1:6" x14ac:dyDescent="0.25">
      <c r="A3" t="s">
        <v>28</v>
      </c>
      <c r="B3" t="s">
        <v>15</v>
      </c>
      <c r="C3" t="s">
        <v>16</v>
      </c>
      <c r="D3" t="s">
        <v>29</v>
      </c>
      <c r="E3" t="s">
        <v>18</v>
      </c>
      <c r="F3" t="s">
        <v>30</v>
      </c>
    </row>
    <row r="4" spans="1:6" x14ac:dyDescent="0.25">
      <c r="A4">
        <v>5</v>
      </c>
      <c r="B4" t="s">
        <v>24</v>
      </c>
      <c r="C4">
        <v>5</v>
      </c>
      <c r="D4">
        <v>2</v>
      </c>
      <c r="E4">
        <v>4</v>
      </c>
      <c r="F4">
        <v>40</v>
      </c>
    </row>
    <row r="5" spans="1:6" x14ac:dyDescent="0.25">
      <c r="A5">
        <v>5</v>
      </c>
      <c r="B5" t="s">
        <v>31</v>
      </c>
      <c r="C5">
        <v>5</v>
      </c>
      <c r="D5">
        <v>2</v>
      </c>
      <c r="E5">
        <v>6</v>
      </c>
      <c r="F5">
        <v>40</v>
      </c>
    </row>
    <row r="6" spans="1:6" x14ac:dyDescent="0.25">
      <c r="A6">
        <v>3</v>
      </c>
      <c r="B6" t="s">
        <v>32</v>
      </c>
      <c r="C6">
        <v>6</v>
      </c>
      <c r="D6">
        <v>3</v>
      </c>
      <c r="E6">
        <v>4</v>
      </c>
      <c r="F6">
        <v>50</v>
      </c>
    </row>
    <row r="7" spans="1:6" x14ac:dyDescent="0.25">
      <c r="A7">
        <v>4</v>
      </c>
      <c r="B7" t="s">
        <v>33</v>
      </c>
      <c r="C7">
        <v>4</v>
      </c>
      <c r="D7">
        <v>2</v>
      </c>
      <c r="E7">
        <v>7</v>
      </c>
      <c r="F7">
        <v>50</v>
      </c>
    </row>
    <row r="8" spans="1:6" x14ac:dyDescent="0.25">
      <c r="A8">
        <v>4</v>
      </c>
      <c r="B8" t="s">
        <v>34</v>
      </c>
      <c r="C8">
        <v>4</v>
      </c>
      <c r="D8">
        <v>2</v>
      </c>
      <c r="E8">
        <v>3</v>
      </c>
      <c r="F8">
        <v>50</v>
      </c>
    </row>
    <row r="9" spans="1:6" x14ac:dyDescent="0.25">
      <c r="A9">
        <v>4</v>
      </c>
      <c r="B9" t="s">
        <v>35</v>
      </c>
      <c r="C9">
        <v>4</v>
      </c>
      <c r="D9">
        <v>2</v>
      </c>
      <c r="E9">
        <v>7</v>
      </c>
      <c r="F9">
        <v>50</v>
      </c>
    </row>
    <row r="10" spans="1:6" x14ac:dyDescent="0.25">
      <c r="A10">
        <v>2</v>
      </c>
      <c r="B10" t="s">
        <v>36</v>
      </c>
      <c r="C10">
        <v>5</v>
      </c>
      <c r="D10">
        <v>3</v>
      </c>
      <c r="E10">
        <v>3</v>
      </c>
      <c r="F10">
        <v>60</v>
      </c>
    </row>
    <row r="11" spans="1:6" x14ac:dyDescent="0.25">
      <c r="A11">
        <v>1</v>
      </c>
      <c r="B11" t="s">
        <v>37</v>
      </c>
      <c r="C11">
        <v>3</v>
      </c>
      <c r="D11">
        <v>2</v>
      </c>
      <c r="E11">
        <v>1</v>
      </c>
      <c r="F11">
        <v>66.67</v>
      </c>
    </row>
    <row r="12" spans="1:6" x14ac:dyDescent="0.25">
      <c r="A12">
        <v>1</v>
      </c>
      <c r="B12" t="s">
        <v>38</v>
      </c>
      <c r="C12">
        <v>3</v>
      </c>
      <c r="D12">
        <v>2</v>
      </c>
      <c r="E12">
        <v>1</v>
      </c>
      <c r="F12">
        <v>66.67</v>
      </c>
    </row>
    <row r="13" spans="1:6" x14ac:dyDescent="0.25">
      <c r="A13">
        <v>1</v>
      </c>
      <c r="B13" t="s">
        <v>39</v>
      </c>
      <c r="C13">
        <v>3</v>
      </c>
      <c r="D13">
        <v>2</v>
      </c>
      <c r="E13">
        <v>2</v>
      </c>
      <c r="F13">
        <v>66.67</v>
      </c>
    </row>
    <row r="14" spans="1:6" x14ac:dyDescent="0.25">
      <c r="A14">
        <v>1</v>
      </c>
      <c r="B14" t="s">
        <v>40</v>
      </c>
      <c r="C14">
        <v>3</v>
      </c>
      <c r="D14">
        <v>2</v>
      </c>
      <c r="E14">
        <v>2</v>
      </c>
      <c r="F14">
        <v>66.67</v>
      </c>
    </row>
    <row r="19" spans="3:3" x14ac:dyDescent="0.25">
      <c r="C19" t="s">
        <v>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5B7A-D779-4530-903E-E81ECFD125DE}">
  <dimension ref="A1:I69"/>
  <sheetViews>
    <sheetView workbookViewId="0">
      <selection sqref="A1:XFD1048576"/>
    </sheetView>
  </sheetViews>
  <sheetFormatPr defaultRowHeight="15" x14ac:dyDescent="0.25"/>
  <cols>
    <col min="2" max="3" width="15.7109375" customWidth="1"/>
    <col min="4" max="5" width="22.140625" customWidth="1"/>
    <col min="6" max="6" width="18" customWidth="1"/>
    <col min="7" max="7" width="20.42578125" customWidth="1"/>
    <col min="8" max="8" width="21.85546875" customWidth="1"/>
    <col min="9" max="10" width="28.42578125" customWidth="1"/>
  </cols>
  <sheetData>
    <row r="1" spans="1:9" x14ac:dyDescent="0.25">
      <c r="A1" t="s">
        <v>42</v>
      </c>
    </row>
    <row r="3" spans="1:9" x14ac:dyDescent="0.25">
      <c r="A3" t="s">
        <v>43</v>
      </c>
      <c r="B3" t="s">
        <v>1</v>
      </c>
      <c r="C3" t="s">
        <v>2</v>
      </c>
      <c r="D3" t="s">
        <v>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</row>
    <row r="4" spans="1:9" x14ac:dyDescent="0.25">
      <c r="A4" t="s">
        <v>49</v>
      </c>
      <c r="B4">
        <v>6</v>
      </c>
      <c r="C4">
        <v>16</v>
      </c>
      <c r="D4">
        <v>2.67</v>
      </c>
      <c r="E4">
        <v>1</v>
      </c>
      <c r="F4">
        <v>1</v>
      </c>
      <c r="G4">
        <v>2</v>
      </c>
      <c r="H4">
        <v>5</v>
      </c>
      <c r="I4">
        <v>3</v>
      </c>
    </row>
    <row r="5" spans="1:9" x14ac:dyDescent="0.25">
      <c r="A5" t="s">
        <v>50</v>
      </c>
      <c r="B5">
        <v>6</v>
      </c>
      <c r="C5">
        <v>16</v>
      </c>
      <c r="D5">
        <v>2.67</v>
      </c>
      <c r="E5">
        <v>0</v>
      </c>
      <c r="F5">
        <v>1</v>
      </c>
      <c r="G5">
        <v>1</v>
      </c>
      <c r="H5">
        <v>5</v>
      </c>
      <c r="I5">
        <v>4</v>
      </c>
    </row>
    <row r="6" spans="1:9" x14ac:dyDescent="0.25">
      <c r="A6" t="s">
        <v>51</v>
      </c>
      <c r="B6">
        <v>7</v>
      </c>
      <c r="C6">
        <v>19</v>
      </c>
      <c r="D6">
        <v>2.71</v>
      </c>
      <c r="E6">
        <v>3</v>
      </c>
      <c r="F6">
        <v>1</v>
      </c>
      <c r="G6">
        <v>4</v>
      </c>
      <c r="H6">
        <v>3</v>
      </c>
      <c r="I6">
        <v>1</v>
      </c>
    </row>
    <row r="7" spans="1:9" hidden="1" x14ac:dyDescent="0.25">
      <c r="A7" t="s">
        <v>52</v>
      </c>
      <c r="B7">
        <v>7</v>
      </c>
      <c r="C7">
        <v>17</v>
      </c>
      <c r="D7">
        <v>2.4300000000000002</v>
      </c>
      <c r="E7">
        <v>0</v>
      </c>
      <c r="F7">
        <v>0</v>
      </c>
      <c r="G7">
        <v>0</v>
      </c>
      <c r="H7">
        <v>4</v>
      </c>
      <c r="I7">
        <v>5</v>
      </c>
    </row>
    <row r="8" spans="1:9" hidden="1" x14ac:dyDescent="0.25">
      <c r="A8" t="s">
        <v>53</v>
      </c>
      <c r="B8">
        <v>7</v>
      </c>
      <c r="C8">
        <v>16</v>
      </c>
      <c r="D8">
        <v>2.29</v>
      </c>
      <c r="E8">
        <v>2</v>
      </c>
      <c r="F8">
        <v>0</v>
      </c>
      <c r="G8">
        <v>2</v>
      </c>
      <c r="H8">
        <v>5</v>
      </c>
      <c r="I8">
        <v>3</v>
      </c>
    </row>
    <row r="9" spans="1:9" x14ac:dyDescent="0.25">
      <c r="A9" t="s">
        <v>54</v>
      </c>
      <c r="B9">
        <v>7</v>
      </c>
      <c r="C9">
        <v>21</v>
      </c>
      <c r="D9">
        <v>3</v>
      </c>
      <c r="E9">
        <v>3</v>
      </c>
      <c r="F9">
        <v>0</v>
      </c>
      <c r="G9">
        <v>3</v>
      </c>
      <c r="H9">
        <v>1</v>
      </c>
      <c r="I9">
        <v>2</v>
      </c>
    </row>
    <row r="10" spans="1:9" hidden="1" x14ac:dyDescent="0.25">
      <c r="A10" t="s">
        <v>55</v>
      </c>
      <c r="B10">
        <v>7</v>
      </c>
      <c r="C10">
        <v>16</v>
      </c>
      <c r="D10">
        <v>2.29</v>
      </c>
      <c r="E10">
        <v>0</v>
      </c>
      <c r="F10">
        <v>1</v>
      </c>
      <c r="G10">
        <v>1</v>
      </c>
      <c r="H10">
        <v>5</v>
      </c>
      <c r="I10">
        <v>4</v>
      </c>
    </row>
    <row r="11" spans="1:9" x14ac:dyDescent="0.25">
      <c r="A11" t="s">
        <v>56</v>
      </c>
      <c r="B11">
        <v>6</v>
      </c>
      <c r="C11">
        <v>20</v>
      </c>
      <c r="D11">
        <v>3.33</v>
      </c>
      <c r="E11">
        <v>2</v>
      </c>
      <c r="F11">
        <v>0</v>
      </c>
      <c r="G11">
        <v>2</v>
      </c>
      <c r="H11">
        <v>2</v>
      </c>
      <c r="I11">
        <v>3</v>
      </c>
    </row>
    <row r="12" spans="1:9" hidden="1" x14ac:dyDescent="0.25">
      <c r="A12" t="s">
        <v>57</v>
      </c>
      <c r="B12">
        <v>6</v>
      </c>
      <c r="C12">
        <v>15</v>
      </c>
      <c r="D12">
        <v>2.5</v>
      </c>
      <c r="E12">
        <v>3</v>
      </c>
      <c r="F12">
        <v>0</v>
      </c>
      <c r="G12">
        <v>3</v>
      </c>
      <c r="H12">
        <v>6</v>
      </c>
      <c r="I12">
        <v>2</v>
      </c>
    </row>
    <row r="13" spans="1:9" hidden="1" x14ac:dyDescent="0.25">
      <c r="A13" t="s">
        <v>58</v>
      </c>
      <c r="B13">
        <v>7</v>
      </c>
      <c r="C13">
        <v>15</v>
      </c>
      <c r="D13">
        <v>2.14</v>
      </c>
      <c r="E13">
        <v>1</v>
      </c>
      <c r="F13">
        <v>1</v>
      </c>
      <c r="G13">
        <v>2</v>
      </c>
      <c r="H13">
        <v>6</v>
      </c>
      <c r="I13">
        <v>3</v>
      </c>
    </row>
    <row r="14" spans="1:9" hidden="1" x14ac:dyDescent="0.25">
      <c r="A14" t="s">
        <v>59</v>
      </c>
      <c r="B14">
        <v>7</v>
      </c>
      <c r="C14">
        <v>15</v>
      </c>
      <c r="D14">
        <v>2.14</v>
      </c>
      <c r="E14">
        <v>1</v>
      </c>
      <c r="F14">
        <v>0</v>
      </c>
      <c r="G14">
        <v>1</v>
      </c>
      <c r="H14">
        <v>6</v>
      </c>
      <c r="I14">
        <v>4</v>
      </c>
    </row>
    <row r="15" spans="1:9" hidden="1" x14ac:dyDescent="0.25">
      <c r="A15" t="s">
        <v>60</v>
      </c>
      <c r="B15">
        <v>7</v>
      </c>
      <c r="C15">
        <v>14</v>
      </c>
      <c r="D15">
        <v>2</v>
      </c>
      <c r="E15">
        <v>2</v>
      </c>
      <c r="F15">
        <v>0</v>
      </c>
      <c r="G15">
        <v>2</v>
      </c>
      <c r="H15">
        <v>7</v>
      </c>
      <c r="I15">
        <v>3</v>
      </c>
    </row>
    <row r="16" spans="1:9" hidden="1" x14ac:dyDescent="0.25">
      <c r="A16" t="s">
        <v>61</v>
      </c>
      <c r="B16">
        <v>6</v>
      </c>
      <c r="C16">
        <v>13</v>
      </c>
      <c r="D16">
        <v>2.17</v>
      </c>
      <c r="E16">
        <v>0</v>
      </c>
      <c r="F16">
        <v>2</v>
      </c>
      <c r="G16">
        <v>2</v>
      </c>
      <c r="H16">
        <v>8</v>
      </c>
      <c r="I16">
        <v>3</v>
      </c>
    </row>
    <row r="17" spans="1:9" hidden="1" x14ac:dyDescent="0.25">
      <c r="A17" t="s">
        <v>62</v>
      </c>
      <c r="B17">
        <v>6</v>
      </c>
      <c r="C17">
        <v>13</v>
      </c>
      <c r="D17">
        <v>2.17</v>
      </c>
      <c r="E17">
        <v>0</v>
      </c>
      <c r="F17">
        <v>1</v>
      </c>
      <c r="G17">
        <v>1</v>
      </c>
      <c r="H17">
        <v>8</v>
      </c>
      <c r="I17">
        <v>4</v>
      </c>
    </row>
    <row r="18" spans="1:9" hidden="1" x14ac:dyDescent="0.25">
      <c r="A18" t="s">
        <v>63</v>
      </c>
      <c r="B18">
        <v>6</v>
      </c>
      <c r="C18">
        <v>13</v>
      </c>
      <c r="D18">
        <v>2.17</v>
      </c>
      <c r="E18">
        <v>0</v>
      </c>
      <c r="F18">
        <v>1</v>
      </c>
      <c r="G18">
        <v>1</v>
      </c>
      <c r="H18">
        <v>8</v>
      </c>
      <c r="I18">
        <v>4</v>
      </c>
    </row>
    <row r="19" spans="1:9" hidden="1" x14ac:dyDescent="0.25">
      <c r="A19" t="s">
        <v>64</v>
      </c>
      <c r="B19">
        <v>6</v>
      </c>
      <c r="C19">
        <v>12</v>
      </c>
      <c r="D19">
        <v>2</v>
      </c>
      <c r="E19">
        <v>2</v>
      </c>
      <c r="F19">
        <v>0</v>
      </c>
      <c r="G19">
        <v>2</v>
      </c>
      <c r="H19">
        <v>9</v>
      </c>
      <c r="I19">
        <v>3</v>
      </c>
    </row>
    <row r="37" spans="1:9" x14ac:dyDescent="0.25">
      <c r="A37" t="s">
        <v>43</v>
      </c>
      <c r="B37" t="s">
        <v>1</v>
      </c>
      <c r="C37" t="s">
        <v>2</v>
      </c>
      <c r="D37" t="s">
        <v>3</v>
      </c>
      <c r="E37" t="s">
        <v>44</v>
      </c>
      <c r="F37" t="s">
        <v>45</v>
      </c>
      <c r="G37" t="s">
        <v>46</v>
      </c>
      <c r="H37" t="s">
        <v>47</v>
      </c>
      <c r="I37" t="s">
        <v>48</v>
      </c>
    </row>
    <row r="38" spans="1:9" x14ac:dyDescent="0.25">
      <c r="A38" t="s">
        <v>51</v>
      </c>
      <c r="B38">
        <v>7</v>
      </c>
      <c r="C38">
        <v>19</v>
      </c>
      <c r="D38">
        <v>2.71</v>
      </c>
      <c r="E38">
        <v>3</v>
      </c>
      <c r="F38">
        <v>1</v>
      </c>
      <c r="G38">
        <v>4</v>
      </c>
      <c r="H38">
        <v>3</v>
      </c>
      <c r="I38">
        <v>1</v>
      </c>
    </row>
    <row r="39" spans="1:9" x14ac:dyDescent="0.25">
      <c r="A39" t="s">
        <v>54</v>
      </c>
      <c r="B39">
        <v>7</v>
      </c>
      <c r="C39">
        <v>21</v>
      </c>
      <c r="D39">
        <v>3</v>
      </c>
      <c r="E39">
        <v>3</v>
      </c>
      <c r="F39">
        <v>0</v>
      </c>
      <c r="G39">
        <v>3</v>
      </c>
      <c r="H39">
        <v>1</v>
      </c>
      <c r="I39">
        <v>2</v>
      </c>
    </row>
    <row r="40" spans="1:9" x14ac:dyDescent="0.25">
      <c r="A40" t="s">
        <v>57</v>
      </c>
      <c r="B40">
        <v>6</v>
      </c>
      <c r="C40">
        <v>15</v>
      </c>
      <c r="D40">
        <v>2.5</v>
      </c>
      <c r="E40">
        <v>3</v>
      </c>
      <c r="F40">
        <v>0</v>
      </c>
      <c r="G40">
        <v>3</v>
      </c>
      <c r="H40">
        <v>6</v>
      </c>
      <c r="I40">
        <v>2</v>
      </c>
    </row>
    <row r="41" spans="1:9" x14ac:dyDescent="0.25">
      <c r="A41" t="s">
        <v>56</v>
      </c>
      <c r="B41">
        <v>6</v>
      </c>
      <c r="C41">
        <v>20</v>
      </c>
      <c r="D41">
        <v>3.33</v>
      </c>
      <c r="E41">
        <v>2</v>
      </c>
      <c r="F41">
        <v>0</v>
      </c>
      <c r="G41">
        <v>2</v>
      </c>
      <c r="H41">
        <v>2</v>
      </c>
      <c r="I41">
        <v>3</v>
      </c>
    </row>
    <row r="42" spans="1:9" x14ac:dyDescent="0.25">
      <c r="A42" t="s">
        <v>53</v>
      </c>
      <c r="B42">
        <v>7</v>
      </c>
      <c r="C42">
        <v>16</v>
      </c>
      <c r="D42">
        <v>2.29</v>
      </c>
      <c r="E42">
        <v>2</v>
      </c>
      <c r="F42">
        <v>0</v>
      </c>
      <c r="G42">
        <v>2</v>
      </c>
      <c r="H42">
        <v>5</v>
      </c>
      <c r="I42">
        <v>3</v>
      </c>
    </row>
    <row r="43" spans="1:9" x14ac:dyDescent="0.25">
      <c r="A43" t="s">
        <v>49</v>
      </c>
      <c r="B43">
        <v>6</v>
      </c>
      <c r="C43">
        <v>16</v>
      </c>
      <c r="D43">
        <v>2.67</v>
      </c>
      <c r="E43">
        <v>1</v>
      </c>
      <c r="F43">
        <v>1</v>
      </c>
      <c r="G43">
        <v>2</v>
      </c>
      <c r="H43">
        <v>5</v>
      </c>
      <c r="I43">
        <v>3</v>
      </c>
    </row>
    <row r="44" spans="1:9" x14ac:dyDescent="0.25">
      <c r="A44" t="s">
        <v>58</v>
      </c>
      <c r="B44">
        <v>7</v>
      </c>
      <c r="C44">
        <v>15</v>
      </c>
      <c r="D44">
        <v>2.14</v>
      </c>
      <c r="E44">
        <v>1</v>
      </c>
      <c r="F44">
        <v>1</v>
      </c>
      <c r="G44">
        <v>2</v>
      </c>
      <c r="H44">
        <v>6</v>
      </c>
      <c r="I44">
        <v>3</v>
      </c>
    </row>
    <row r="45" spans="1:9" x14ac:dyDescent="0.25">
      <c r="A45" t="s">
        <v>60</v>
      </c>
      <c r="B45">
        <v>7</v>
      </c>
      <c r="C45">
        <v>14</v>
      </c>
      <c r="D45">
        <v>2</v>
      </c>
      <c r="E45">
        <v>2</v>
      </c>
      <c r="F45">
        <v>0</v>
      </c>
      <c r="G45">
        <v>2</v>
      </c>
      <c r="H45">
        <v>7</v>
      </c>
      <c r="I45">
        <v>3</v>
      </c>
    </row>
    <row r="46" spans="1:9" x14ac:dyDescent="0.25">
      <c r="A46" t="s">
        <v>61</v>
      </c>
      <c r="B46">
        <v>6</v>
      </c>
      <c r="C46">
        <v>13</v>
      </c>
      <c r="D46">
        <v>2.17</v>
      </c>
      <c r="E46">
        <v>0</v>
      </c>
      <c r="F46">
        <v>2</v>
      </c>
      <c r="G46">
        <v>2</v>
      </c>
      <c r="H46">
        <v>8</v>
      </c>
      <c r="I46">
        <v>3</v>
      </c>
    </row>
    <row r="47" spans="1:9" x14ac:dyDescent="0.25">
      <c r="A47" t="s">
        <v>64</v>
      </c>
      <c r="B47">
        <v>6</v>
      </c>
      <c r="C47">
        <v>12</v>
      </c>
      <c r="D47">
        <v>2</v>
      </c>
      <c r="E47">
        <v>2</v>
      </c>
      <c r="F47">
        <v>0</v>
      </c>
      <c r="G47">
        <v>2</v>
      </c>
      <c r="H47">
        <v>9</v>
      </c>
      <c r="I47">
        <v>3</v>
      </c>
    </row>
    <row r="48" spans="1:9" x14ac:dyDescent="0.25">
      <c r="A48" t="s">
        <v>55</v>
      </c>
      <c r="B48">
        <v>7</v>
      </c>
      <c r="C48">
        <v>16</v>
      </c>
      <c r="D48">
        <v>2.29</v>
      </c>
      <c r="E48">
        <v>0</v>
      </c>
      <c r="F48">
        <v>1</v>
      </c>
      <c r="G48">
        <v>1</v>
      </c>
      <c r="H48">
        <v>5</v>
      </c>
      <c r="I48">
        <v>4</v>
      </c>
    </row>
    <row r="49" spans="1:9" x14ac:dyDescent="0.25">
      <c r="A49" t="s">
        <v>50</v>
      </c>
      <c r="B49">
        <v>6</v>
      </c>
      <c r="C49">
        <v>16</v>
      </c>
      <c r="D49">
        <v>2.67</v>
      </c>
      <c r="E49">
        <v>0</v>
      </c>
      <c r="F49">
        <v>1</v>
      </c>
      <c r="G49">
        <v>1</v>
      </c>
      <c r="H49">
        <v>5</v>
      </c>
      <c r="I49">
        <v>4</v>
      </c>
    </row>
    <row r="50" spans="1:9" x14ac:dyDescent="0.25">
      <c r="A50" t="s">
        <v>59</v>
      </c>
      <c r="B50">
        <v>7</v>
      </c>
      <c r="C50">
        <v>15</v>
      </c>
      <c r="D50">
        <v>2.14</v>
      </c>
      <c r="E50">
        <v>1</v>
      </c>
      <c r="F50">
        <v>0</v>
      </c>
      <c r="G50">
        <v>1</v>
      </c>
      <c r="H50">
        <v>6</v>
      </c>
      <c r="I50">
        <v>4</v>
      </c>
    </row>
    <row r="51" spans="1:9" x14ac:dyDescent="0.25">
      <c r="A51" t="s">
        <v>62</v>
      </c>
      <c r="B51">
        <v>6</v>
      </c>
      <c r="C51">
        <v>13</v>
      </c>
      <c r="D51">
        <v>2.17</v>
      </c>
      <c r="E51">
        <v>0</v>
      </c>
      <c r="F51">
        <v>1</v>
      </c>
      <c r="G51">
        <v>1</v>
      </c>
      <c r="H51">
        <v>8</v>
      </c>
      <c r="I51">
        <v>4</v>
      </c>
    </row>
    <row r="52" spans="1:9" x14ac:dyDescent="0.25">
      <c r="A52" t="s">
        <v>63</v>
      </c>
      <c r="B52">
        <v>6</v>
      </c>
      <c r="C52">
        <v>13</v>
      </c>
      <c r="D52">
        <v>2.17</v>
      </c>
      <c r="E52">
        <v>0</v>
      </c>
      <c r="F52">
        <v>1</v>
      </c>
      <c r="G52">
        <v>1</v>
      </c>
      <c r="H52">
        <v>8</v>
      </c>
      <c r="I52">
        <v>4</v>
      </c>
    </row>
    <row r="53" spans="1:9" x14ac:dyDescent="0.25">
      <c r="A53" t="s">
        <v>52</v>
      </c>
      <c r="B53">
        <v>7</v>
      </c>
      <c r="C53">
        <v>17</v>
      </c>
      <c r="D53">
        <v>2.4300000000000002</v>
      </c>
      <c r="E53">
        <v>0</v>
      </c>
      <c r="F53">
        <v>0</v>
      </c>
      <c r="G53">
        <v>0</v>
      </c>
      <c r="H53">
        <v>4</v>
      </c>
      <c r="I53">
        <v>5</v>
      </c>
    </row>
    <row r="69" spans="1:1" x14ac:dyDescent="0.25">
      <c r="A69" s="1" t="s">
        <v>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62B-1B74-4619-B356-BE591B077427}">
  <dimension ref="A1:F24"/>
  <sheetViews>
    <sheetView workbookViewId="0">
      <selection sqref="A1:XFD1048576"/>
    </sheetView>
  </sheetViews>
  <sheetFormatPr defaultRowHeight="15" x14ac:dyDescent="0.25"/>
  <cols>
    <col min="1" max="1" width="13.5703125" customWidth="1"/>
    <col min="2" max="2" width="15.7109375" customWidth="1"/>
    <col min="3" max="3" width="17.42578125" customWidth="1"/>
    <col min="4" max="4" width="18.5703125" customWidth="1"/>
    <col min="5" max="5" width="17.5703125" customWidth="1"/>
    <col min="6" max="6" width="23.140625" customWidth="1"/>
  </cols>
  <sheetData>
    <row r="1" spans="1:6" x14ac:dyDescent="0.25">
      <c r="A1" t="s">
        <v>66</v>
      </c>
    </row>
    <row r="2" spans="1:6" x14ac:dyDescent="0.25">
      <c r="A2" t="s">
        <v>67</v>
      </c>
    </row>
    <row r="5" spans="1:6" x14ac:dyDescent="0.25">
      <c r="A5" t="s">
        <v>68</v>
      </c>
      <c r="B5" t="s">
        <v>1</v>
      </c>
      <c r="C5" t="s">
        <v>69</v>
      </c>
      <c r="D5" t="s">
        <v>70</v>
      </c>
      <c r="E5" t="s">
        <v>71</v>
      </c>
      <c r="F5" t="s">
        <v>72</v>
      </c>
    </row>
    <row r="6" spans="1:6" x14ac:dyDescent="0.25">
      <c r="A6">
        <v>1</v>
      </c>
      <c r="B6">
        <v>104</v>
      </c>
      <c r="C6">
        <v>56.73</v>
      </c>
      <c r="D6">
        <v>19.23</v>
      </c>
      <c r="E6">
        <v>24.04</v>
      </c>
      <c r="F6">
        <v>1.89</v>
      </c>
    </row>
    <row r="7" spans="1:6" x14ac:dyDescent="0.25">
      <c r="A7">
        <v>2</v>
      </c>
      <c r="B7">
        <v>104</v>
      </c>
      <c r="C7">
        <v>24.04</v>
      </c>
      <c r="D7">
        <v>19.23</v>
      </c>
      <c r="E7">
        <v>56.73</v>
      </c>
      <c r="F7">
        <v>0.91</v>
      </c>
    </row>
    <row r="24" spans="1:1" x14ac:dyDescent="0.25">
      <c r="A24" t="s">
        <v>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3101-623D-47D0-A2AC-AC99A4942A28}">
  <dimension ref="A1:E27"/>
  <sheetViews>
    <sheetView workbookViewId="0">
      <selection sqref="A1:XFD1048576"/>
    </sheetView>
  </sheetViews>
  <sheetFormatPr defaultRowHeight="15" x14ac:dyDescent="0.25"/>
  <cols>
    <col min="1" max="1" width="24.85546875" customWidth="1"/>
    <col min="2" max="2" width="26.28515625" customWidth="1"/>
    <col min="3" max="3" width="24.85546875" customWidth="1"/>
    <col min="4" max="4" width="23.85546875" customWidth="1"/>
    <col min="5" max="5" width="36.140625" bestFit="1" customWidth="1"/>
  </cols>
  <sheetData>
    <row r="1" spans="1:5" x14ac:dyDescent="0.25">
      <c r="A1" t="s">
        <v>74</v>
      </c>
    </row>
    <row r="2" spans="1:5" x14ac:dyDescent="0.25">
      <c r="A2" t="s">
        <v>75</v>
      </c>
    </row>
    <row r="4" spans="1:5" x14ac:dyDescent="0.25">
      <c r="A4" t="s">
        <v>76</v>
      </c>
      <c r="B4" t="s">
        <v>77</v>
      </c>
      <c r="C4" t="s">
        <v>78</v>
      </c>
      <c r="D4" t="s">
        <v>79</v>
      </c>
      <c r="E4" t="s">
        <v>80</v>
      </c>
    </row>
    <row r="5" spans="1:5" x14ac:dyDescent="0.25">
      <c r="A5">
        <v>32</v>
      </c>
      <c r="B5">
        <v>9</v>
      </c>
      <c r="C5">
        <v>4</v>
      </c>
      <c r="D5">
        <v>28.13</v>
      </c>
      <c r="E5">
        <v>44.44</v>
      </c>
    </row>
    <row r="9" spans="1:5" x14ac:dyDescent="0.25">
      <c r="A9" s="2" t="s">
        <v>81</v>
      </c>
      <c r="B9" t="s">
        <v>82</v>
      </c>
      <c r="C9" t="s">
        <v>83</v>
      </c>
    </row>
    <row r="10" spans="1:5" x14ac:dyDescent="0.25">
      <c r="A10" s="3">
        <v>32</v>
      </c>
      <c r="B10" s="4">
        <v>9</v>
      </c>
      <c r="C10" s="4">
        <v>4</v>
      </c>
    </row>
    <row r="27" spans="1:1" x14ac:dyDescent="0.25">
      <c r="A27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EF60-AEB5-4C65-B777-718B466252D0}">
  <dimension ref="A1:D20"/>
  <sheetViews>
    <sheetView workbookViewId="0">
      <selection sqref="A1:XFD1048576"/>
    </sheetView>
  </sheetViews>
  <sheetFormatPr defaultRowHeight="15" x14ac:dyDescent="0.25"/>
  <cols>
    <col min="1" max="1" width="32.42578125" customWidth="1"/>
    <col min="2" max="2" width="21.140625" bestFit="1" customWidth="1"/>
    <col min="4" max="4" width="30.7109375" bestFit="1" customWidth="1"/>
    <col min="5" max="5" width="20.85546875" bestFit="1" customWidth="1"/>
  </cols>
  <sheetData>
    <row r="1" spans="1:4" x14ac:dyDescent="0.25">
      <c r="A1" t="s">
        <v>85</v>
      </c>
    </row>
    <row r="2" spans="1:4" x14ac:dyDescent="0.25">
      <c r="A2" t="s">
        <v>86</v>
      </c>
    </row>
    <row r="4" spans="1:4" x14ac:dyDescent="0.25">
      <c r="A4" t="s">
        <v>87</v>
      </c>
      <c r="B4" t="s">
        <v>88</v>
      </c>
      <c r="C4" t="s">
        <v>89</v>
      </c>
      <c r="D4" t="s">
        <v>90</v>
      </c>
    </row>
    <row r="5" spans="1:4" x14ac:dyDescent="0.25">
      <c r="A5">
        <v>4</v>
      </c>
      <c r="B5">
        <v>1</v>
      </c>
      <c r="C5">
        <v>1.25</v>
      </c>
      <c r="D5">
        <v>2</v>
      </c>
    </row>
    <row r="20" spans="1:1" x14ac:dyDescent="0.25">
      <c r="A20" t="s">
        <v>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B8B6-03CF-48F0-A410-56FEF6AF69FC}">
  <dimension ref="A1:C18"/>
  <sheetViews>
    <sheetView tabSelected="1" workbookViewId="0">
      <selection sqref="A1:XFD1048576"/>
    </sheetView>
  </sheetViews>
  <sheetFormatPr defaultRowHeight="15" x14ac:dyDescent="0.25"/>
  <cols>
    <col min="3" max="3" width="16.5703125" bestFit="1" customWidth="1"/>
  </cols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t="s">
        <v>95</v>
      </c>
      <c r="B2">
        <v>4</v>
      </c>
      <c r="C2">
        <v>13</v>
      </c>
    </row>
    <row r="3" spans="1:3" x14ac:dyDescent="0.25">
      <c r="A3" t="s">
        <v>96</v>
      </c>
      <c r="B3">
        <v>4</v>
      </c>
      <c r="C3">
        <v>13</v>
      </c>
    </row>
    <row r="4" spans="1:3" x14ac:dyDescent="0.25">
      <c r="A4" t="s">
        <v>97</v>
      </c>
      <c r="B4">
        <v>5</v>
      </c>
      <c r="C4">
        <v>16</v>
      </c>
    </row>
    <row r="5" spans="1:3" x14ac:dyDescent="0.25">
      <c r="A5" t="s">
        <v>98</v>
      </c>
      <c r="B5">
        <v>5</v>
      </c>
      <c r="C5">
        <v>16</v>
      </c>
    </row>
    <row r="6" spans="1:3" x14ac:dyDescent="0.25">
      <c r="A6" t="s">
        <v>99</v>
      </c>
      <c r="B6">
        <v>6</v>
      </c>
      <c r="C6">
        <v>14</v>
      </c>
    </row>
    <row r="7" spans="1:3" x14ac:dyDescent="0.25">
      <c r="A7" t="s">
        <v>100</v>
      </c>
      <c r="B7">
        <v>6</v>
      </c>
      <c r="C7">
        <v>14</v>
      </c>
    </row>
    <row r="8" spans="1:3" x14ac:dyDescent="0.25">
      <c r="A8" t="s">
        <v>101</v>
      </c>
      <c r="B8">
        <v>7</v>
      </c>
      <c r="C8">
        <v>12</v>
      </c>
    </row>
    <row r="9" spans="1:3" x14ac:dyDescent="0.25">
      <c r="A9" t="s">
        <v>102</v>
      </c>
      <c r="B9">
        <v>7</v>
      </c>
      <c r="C9">
        <v>12</v>
      </c>
    </row>
    <row r="10" spans="1:3" x14ac:dyDescent="0.25">
      <c r="A10" t="s">
        <v>103</v>
      </c>
      <c r="B10">
        <v>8</v>
      </c>
      <c r="C10">
        <v>15</v>
      </c>
    </row>
    <row r="11" spans="1:3" x14ac:dyDescent="0.25">
      <c r="A11" t="s">
        <v>104</v>
      </c>
      <c r="B11">
        <v>8</v>
      </c>
      <c r="C11">
        <v>15</v>
      </c>
    </row>
    <row r="12" spans="1:3" x14ac:dyDescent="0.25">
      <c r="A12" t="s">
        <v>105</v>
      </c>
      <c r="B12">
        <v>9</v>
      </c>
      <c r="C12">
        <v>15</v>
      </c>
    </row>
    <row r="13" spans="1:3" x14ac:dyDescent="0.25">
      <c r="A13" t="s">
        <v>106</v>
      </c>
      <c r="B13">
        <v>9</v>
      </c>
      <c r="C13">
        <v>15</v>
      </c>
    </row>
    <row r="18" spans="3:3" x14ac:dyDescent="0.25">
      <c r="C18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Samanta CSC</dc:creator>
  <cp:lastModifiedBy>koushik</cp:lastModifiedBy>
  <dcterms:created xsi:type="dcterms:W3CDTF">2026-08-10T11:54:29Z</dcterms:created>
  <dcterms:modified xsi:type="dcterms:W3CDTF">2026-08-11T17:09:30Z</dcterms:modified>
</cp:coreProperties>
</file>